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mc:AlternateContent xmlns:mc="http://schemas.openxmlformats.org/markup-compatibility/2006">
    <mc:Choice Requires="x15">
      <x15ac:absPath xmlns:x15ac="http://schemas.microsoft.com/office/spreadsheetml/2010/11/ac" url="C:\Users\D T Chirag\Documents\Internship\Projects\Excel\"/>
    </mc:Choice>
  </mc:AlternateContent>
  <xr:revisionPtr revIDLastSave="0" documentId="13_ncr:1_{49AC5649-52F9-4B7A-9F29-1501234821E8}" xr6:coauthVersionLast="47" xr6:coauthVersionMax="47" xr10:uidLastSave="{00000000-0000-0000-0000-000000000000}"/>
  <bookViews>
    <workbookView xWindow="-108" yWindow="-108" windowWidth="23256" windowHeight="12456" xr2:uid="{00000000-000D-0000-FFFF-FFFF00000000}"/>
  </bookViews>
  <sheets>
    <sheet name="Amazon Sales Dashboard  2024" sheetId="3" r:id="rId1"/>
    <sheet name="Visualizations" sheetId="11" r:id="rId2"/>
    <sheet name="Location Based Performance" sheetId="10" r:id="rId3"/>
  </sheets>
  <definedNames>
    <definedName name="_xlchart.v5.0" hidden="1">'Location Based Performance'!$F$7</definedName>
    <definedName name="_xlchart.v5.1" hidden="1">'Location Based Performance'!$F$8:$F$28</definedName>
    <definedName name="_xlchart.v5.2" hidden="1">'Location Based Performance'!$G$7</definedName>
    <definedName name="_xlchart.v5.3" hidden="1">'Location Based Performance'!$G$8:$G$28</definedName>
    <definedName name="Slicer_City">#N/A</definedName>
    <definedName name="Slicer_City1">#N/A</definedName>
    <definedName name="Slicer_Product_Category">#N/A</definedName>
    <definedName name="Slicer_Product_Category1">#N/A</definedName>
    <definedName name="Slicer_State">#N/A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8"/>
        <x14:slicerCache r:id="rId9"/>
        <x14:slicerCache r:id="rId10"/>
      </x15:slicerCache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14" i="10" l="1"/>
  <c r="R14" i="10"/>
  <c r="T11" i="10"/>
  <c r="R15" i="10" s="1"/>
  <c r="S15" i="10" s="1"/>
  <c r="R10" i="10"/>
  <c r="R11" i="10"/>
  <c r="T10" i="10" l="1"/>
  <c r="I5" i="3"/>
  <c r="I14" i="3"/>
  <c r="I11" i="3"/>
  <c r="I8" i="3"/>
</calcChain>
</file>

<file path=xl/sharedStrings.xml><?xml version="1.0" encoding="utf-8"?>
<sst xmlns="http://schemas.openxmlformats.org/spreadsheetml/2006/main" count="1020" uniqueCount="105">
  <si>
    <t>Amazon Sales Dashboard 2024</t>
  </si>
  <si>
    <t>City</t>
  </si>
  <si>
    <t>State</t>
  </si>
  <si>
    <t>Product Category</t>
  </si>
  <si>
    <t>Sales Amount (₹)</t>
  </si>
  <si>
    <t>Units Sold</t>
  </si>
  <si>
    <t>Total Sales Amount</t>
  </si>
  <si>
    <t>Agra</t>
  </si>
  <si>
    <t>Uttar Pradesh</t>
  </si>
  <si>
    <t>Toys</t>
  </si>
  <si>
    <t>Fashion</t>
  </si>
  <si>
    <t>Books</t>
  </si>
  <si>
    <t>Total Units Sold</t>
  </si>
  <si>
    <t>Ahmedabad</t>
  </si>
  <si>
    <t>Gujarat</t>
  </si>
  <si>
    <t>Electronics</t>
  </si>
  <si>
    <t>No of Cities</t>
  </si>
  <si>
    <t>Beauty</t>
  </si>
  <si>
    <t>Sports</t>
  </si>
  <si>
    <t>Amritsar</t>
  </si>
  <si>
    <t>Punjab</t>
  </si>
  <si>
    <t>Aurangabad</t>
  </si>
  <si>
    <t>Maharashtra</t>
  </si>
  <si>
    <t>Bareilly</t>
  </si>
  <si>
    <t>Furniture</t>
  </si>
  <si>
    <t>Home Appliances</t>
  </si>
  <si>
    <t>Bengaluru</t>
  </si>
  <si>
    <t>Karnataka</t>
  </si>
  <si>
    <t>Automotive</t>
  </si>
  <si>
    <t>Groceries</t>
  </si>
  <si>
    <t>Bhopal</t>
  </si>
  <si>
    <t>Madhya Pradesh</t>
  </si>
  <si>
    <t>Chandigarh</t>
  </si>
  <si>
    <t>Chennai</t>
  </si>
  <si>
    <t>Tamil Nadu</t>
  </si>
  <si>
    <t>Coimbatore</t>
  </si>
  <si>
    <t>Dehradun</t>
  </si>
  <si>
    <t>Uttarakhand</t>
  </si>
  <si>
    <t>Delhi</t>
  </si>
  <si>
    <t>Faridabad</t>
  </si>
  <si>
    <t>Haryana</t>
  </si>
  <si>
    <t>Ghaziabad</t>
  </si>
  <si>
    <t>Gurgaon</t>
  </si>
  <si>
    <t>Guwahati</t>
  </si>
  <si>
    <t>Assam</t>
  </si>
  <si>
    <t>Gwalior</t>
  </si>
  <si>
    <t>Hyderabad</t>
  </si>
  <si>
    <t>Telangana</t>
  </si>
  <si>
    <t>Indore</t>
  </si>
  <si>
    <t>Jabalpur</t>
  </si>
  <si>
    <t>Jaipur</t>
  </si>
  <si>
    <t>Rajasthan</t>
  </si>
  <si>
    <t>Jodhpur</t>
  </si>
  <si>
    <t>Kanpur</t>
  </si>
  <si>
    <t>Kolkata</t>
  </si>
  <si>
    <t>West Bengal</t>
  </si>
  <si>
    <t>Lucknow</t>
  </si>
  <si>
    <t>Ludhiana</t>
  </si>
  <si>
    <t>Madurai</t>
  </si>
  <si>
    <t>Mangalore</t>
  </si>
  <si>
    <t>Meerut</t>
  </si>
  <si>
    <t>Mumbai</t>
  </si>
  <si>
    <t>Mysuru</t>
  </si>
  <si>
    <t>Nagpur</t>
  </si>
  <si>
    <t>Nashik</t>
  </si>
  <si>
    <t>Noida</t>
  </si>
  <si>
    <t>Patna</t>
  </si>
  <si>
    <t>Bihar</t>
  </si>
  <si>
    <t>Pune</t>
  </si>
  <si>
    <t>Raipur</t>
  </si>
  <si>
    <t>Chhattisgarh</t>
  </si>
  <si>
    <t>Rajkot</t>
  </si>
  <si>
    <t>Ranchi</t>
  </si>
  <si>
    <t>Jharkhand</t>
  </si>
  <si>
    <t>Salem</t>
  </si>
  <si>
    <t>Surat</t>
  </si>
  <si>
    <t>Thiruvananthapuram</t>
  </si>
  <si>
    <t>Kerala</t>
  </si>
  <si>
    <t>Udaipur</t>
  </si>
  <si>
    <t>Vadodara</t>
  </si>
  <si>
    <t>Varanasi</t>
  </si>
  <si>
    <t>Vijayawada</t>
  </si>
  <si>
    <t>Andhra Pradesh</t>
  </si>
  <si>
    <t>Visakhapatnam</t>
  </si>
  <si>
    <t>Warangal</t>
  </si>
  <si>
    <t>No of States</t>
  </si>
  <si>
    <t>Row Labels</t>
  </si>
  <si>
    <t>Grand Total</t>
  </si>
  <si>
    <t>Sum of Sales Amount (₹)</t>
  </si>
  <si>
    <t>(All)</t>
  </si>
  <si>
    <t>Sum of Units Sold</t>
  </si>
  <si>
    <t>Territorial Sales Tracker – FY 2024</t>
  </si>
  <si>
    <t>State-wise Sales Performance (2024)</t>
  </si>
  <si>
    <t>Product-wise Units Sold Performance (2024)</t>
  </si>
  <si>
    <t>City-wise Sales Performance (2024)</t>
  </si>
  <si>
    <t>Sales</t>
  </si>
  <si>
    <t>Sold Units</t>
  </si>
  <si>
    <t>Metrics</t>
  </si>
  <si>
    <t>Target</t>
  </si>
  <si>
    <t>Percentage</t>
  </si>
  <si>
    <t>Progress Breakdown</t>
  </si>
  <si>
    <t>Achieved</t>
  </si>
  <si>
    <t>Fulfilled Objective</t>
  </si>
  <si>
    <t>Outstanding Target</t>
  </si>
  <si>
    <t>Performance Completion Overview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</si>
</sst>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00_-;\-* #,##0.00_-;_-* &quot;-&quot;??_-;_-@_-"/>
    <numFmt numFmtId="165" formatCode="[$₹-44B]#,##0_);\([$₹-44B]#,##0\)"/>
    <numFmt numFmtId="166" formatCode="_-* #,##0_-;\-* #,##0_-;_-* &quot;-&quot;??_-;_-@_-"/>
    <numFmt numFmtId="167" formatCode="&quot;₹&quot;\ #,##0.00"/>
  </numFmts>
  <fonts count="20">
    <font>
      <sz val="11"/>
      <color theme="1"/>
      <name val="Calibri"/>
      <charset val="134"/>
      <scheme val="minor"/>
    </font>
    <font>
      <sz val="11"/>
      <color theme="1"/>
      <name val="Calibri"/>
      <family val="2"/>
      <scheme val="minor"/>
    </font>
    <font>
      <sz val="11"/>
      <color theme="1"/>
      <name val="Calibri"/>
      <family val="2"/>
      <scheme val="minor"/>
    </font>
    <font>
      <b/>
      <sz val="26"/>
      <color theme="0"/>
      <name val="Arial Black"/>
      <family val="2"/>
    </font>
    <font>
      <sz val="16"/>
      <color theme="1"/>
      <name val="Calibri"/>
      <family val="2"/>
      <scheme val="minor"/>
    </font>
    <font>
      <sz val="18"/>
      <color theme="1"/>
      <name val="Calibri"/>
      <family val="2"/>
      <scheme val="minor"/>
    </font>
    <font>
      <b/>
      <sz val="28"/>
      <color theme="0"/>
      <name val="Arial Black"/>
      <family val="2"/>
    </font>
    <font>
      <b/>
      <sz val="22"/>
      <color theme="0"/>
      <name val="Times New Roman"/>
      <family val="1"/>
    </font>
    <font>
      <b/>
      <sz val="18"/>
      <color theme="0"/>
      <name val="Cambria"/>
      <family val="1"/>
    </font>
    <font>
      <sz val="12"/>
      <color theme="1"/>
      <name val="Calibri"/>
      <family val="2"/>
      <scheme val="minor"/>
    </font>
    <font>
      <sz val="16"/>
      <color theme="1"/>
      <name val="Cambria"/>
      <family val="1"/>
    </font>
    <font>
      <sz val="18"/>
      <name val="Calibri"/>
      <family val="2"/>
      <scheme val="minor"/>
    </font>
    <font>
      <sz val="20"/>
      <color theme="1"/>
      <name val="Calibri"/>
      <family val="2"/>
      <scheme val="minor"/>
    </font>
    <font>
      <sz val="11"/>
      <color theme="1"/>
      <name val="Calibri"/>
      <family val="2"/>
      <scheme val="minor"/>
    </font>
    <font>
      <sz val="14"/>
      <color theme="1"/>
      <name val="Calibri"/>
      <family val="2"/>
      <scheme val="minor"/>
    </font>
    <font>
      <b/>
      <sz val="16"/>
      <color theme="1"/>
      <name val="Calibri"/>
      <family val="2"/>
      <scheme val="minor"/>
    </font>
    <font>
      <b/>
      <sz val="12"/>
      <color theme="0"/>
      <name val="Calibri"/>
      <family val="2"/>
      <scheme val="minor"/>
    </font>
    <font>
      <b/>
      <sz val="24"/>
      <name val="Calibri"/>
      <family val="2"/>
      <scheme val="minor"/>
    </font>
    <font>
      <b/>
      <sz val="26"/>
      <name val="Cambria"/>
      <family val="1"/>
    </font>
    <font>
      <b/>
      <sz val="20"/>
      <color theme="1"/>
      <name val="Segoe UI"/>
      <family val="2"/>
    </font>
  </fonts>
  <fills count="18">
    <fill>
      <patternFill patternType="none"/>
    </fill>
    <fill>
      <patternFill patternType="gray125"/>
    </fill>
    <fill>
      <patternFill patternType="solid">
        <fgColor theme="8"/>
        <bgColor indexed="64"/>
      </patternFill>
    </fill>
    <fill>
      <patternFill patternType="solid">
        <fgColor rgb="FFA96250"/>
        <bgColor indexed="64"/>
      </patternFill>
    </fill>
    <fill>
      <patternFill patternType="solid">
        <fgColor theme="0"/>
        <bgColor indexed="64"/>
      </patternFill>
    </fill>
    <fill>
      <patternFill patternType="solid">
        <fgColor theme="5"/>
        <bgColor indexed="64"/>
      </patternFill>
    </fill>
    <fill>
      <patternFill patternType="solid">
        <fgColor theme="5" tint="0.59999389629810485"/>
        <bgColor indexed="64"/>
      </patternFill>
    </fill>
    <fill>
      <patternFill patternType="solid">
        <fgColor theme="9"/>
        <bgColor indexed="64"/>
      </patternFill>
    </fill>
    <fill>
      <patternFill patternType="solid">
        <fgColor theme="9" tint="0.59999389629810485"/>
        <bgColor indexed="64"/>
      </patternFill>
    </fill>
    <fill>
      <patternFill patternType="solid">
        <fgColor theme="6" tint="-0.249977111117893"/>
        <bgColor indexed="64"/>
      </patternFill>
    </fill>
    <fill>
      <patternFill patternType="solid">
        <fgColor theme="6" tint="0.39997558519241921"/>
        <bgColor indexed="64"/>
      </patternFill>
    </fill>
    <fill>
      <patternFill patternType="solid">
        <fgColor theme="3"/>
        <bgColor indexed="64"/>
      </patternFill>
    </fill>
    <fill>
      <patternFill patternType="solid">
        <fgColor theme="3" tint="0.59999389629810485"/>
        <bgColor indexed="64"/>
      </patternFill>
    </fill>
    <fill>
      <patternFill patternType="solid">
        <fgColor theme="7" tint="-0.249977111117893"/>
        <bgColor indexed="64"/>
      </patternFill>
    </fill>
    <fill>
      <patternFill patternType="solid">
        <fgColor theme="4" tint="0.79998168889431442"/>
        <bgColor indexed="64"/>
      </patternFill>
    </fill>
    <fill>
      <patternFill patternType="solid">
        <fgColor theme="5" tint="0.39997558519241921"/>
        <bgColor indexed="64"/>
      </patternFill>
    </fill>
    <fill>
      <patternFill patternType="solid">
        <fgColor theme="3" tint="0.39997558519241921"/>
        <bgColor indexed="64"/>
      </patternFill>
    </fill>
    <fill>
      <patternFill patternType="solid">
        <fgColor theme="9" tint="0.39997558519241921"/>
        <bgColor indexed="64"/>
      </patternFill>
    </fill>
  </fills>
  <borders count="22">
    <border>
      <left/>
      <right/>
      <top/>
      <bottom/>
      <diagonal/>
    </border>
    <border>
      <left style="thin">
        <color auto="1"/>
      </left>
      <right style="thin">
        <color auto="1"/>
      </right>
      <top style="thin">
        <color auto="1"/>
      </top>
      <bottom style="thin">
        <color auto="1"/>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right style="medium">
        <color indexed="64"/>
      </right>
      <top/>
      <bottom/>
      <diagonal/>
    </border>
    <border>
      <left style="medium">
        <color indexed="64"/>
      </left>
      <right style="medium">
        <color indexed="64"/>
      </right>
      <top style="medium">
        <color indexed="64"/>
      </top>
      <bottom/>
      <diagonal/>
    </border>
  </borders>
  <cellStyleXfs count="3">
    <xf numFmtId="0" fontId="0" fillId="0" borderId="0">
      <alignment vertical="center"/>
    </xf>
    <xf numFmtId="164" fontId="2" fillId="0" borderId="0" applyFont="0" applyFill="0" applyBorder="0" applyAlignment="0" applyProtection="0">
      <alignment vertical="center"/>
    </xf>
    <xf numFmtId="9" fontId="13" fillId="0" borderId="0" applyFont="0" applyFill="0" applyBorder="0" applyAlignment="0" applyProtection="0"/>
  </cellStyleXfs>
  <cellXfs count="62">
    <xf numFmtId="0" fontId="0" fillId="0" borderId="0" xfId="0">
      <alignment vertical="center"/>
    </xf>
    <xf numFmtId="0" fontId="0" fillId="0" borderId="0" xfId="0" applyAlignment="1"/>
    <xf numFmtId="0" fontId="4" fillId="0" borderId="0" xfId="0" applyFont="1">
      <alignment vertical="center"/>
    </xf>
    <xf numFmtId="0" fontId="5" fillId="0" borderId="0" xfId="0" applyFont="1">
      <alignment vertical="center"/>
    </xf>
    <xf numFmtId="0" fontId="4" fillId="0" borderId="0" xfId="0" applyFont="1" applyAlignment="1">
      <alignment horizontal="left" vertical="center"/>
    </xf>
    <xf numFmtId="0" fontId="9" fillId="0" borderId="0" xfId="0" applyFont="1">
      <alignment vertical="center"/>
    </xf>
    <xf numFmtId="0" fontId="5" fillId="4" borderId="1" xfId="0" applyFont="1" applyFill="1" applyBorder="1" applyAlignment="1"/>
    <xf numFmtId="165" fontId="5" fillId="4" borderId="1" xfId="0" applyNumberFormat="1" applyFont="1" applyFill="1" applyBorder="1" applyAlignment="1"/>
    <xf numFmtId="165" fontId="10" fillId="6" borderId="0" xfId="0" applyNumberFormat="1" applyFont="1" applyFill="1" applyAlignment="1">
      <alignment horizontal="right" vertical="center"/>
    </xf>
    <xf numFmtId="0" fontId="10" fillId="0" borderId="0" xfId="0" applyFont="1">
      <alignment vertical="center"/>
    </xf>
    <xf numFmtId="166" fontId="10" fillId="8" borderId="0" xfId="1" applyNumberFormat="1" applyFont="1" applyFill="1" applyAlignment="1">
      <alignment vertical="center"/>
    </xf>
    <xf numFmtId="0" fontId="10" fillId="10" borderId="0" xfId="0" applyFont="1" applyFill="1">
      <alignment vertical="center"/>
    </xf>
    <xf numFmtId="0" fontId="4" fillId="12" borderId="0" xfId="0" applyFont="1" applyFill="1">
      <alignment vertical="center"/>
    </xf>
    <xf numFmtId="0" fontId="8" fillId="5" borderId="0" xfId="0" applyFont="1" applyFill="1" applyAlignment="1">
      <alignment horizontal="right" vertical="center"/>
    </xf>
    <xf numFmtId="0" fontId="8" fillId="7" borderId="0" xfId="0" applyFont="1" applyFill="1" applyAlignment="1">
      <alignment horizontal="right" vertical="center"/>
    </xf>
    <xf numFmtId="0" fontId="8" fillId="9" borderId="0" xfId="0" applyFont="1" applyFill="1" applyAlignment="1">
      <alignment horizontal="right" vertical="center"/>
    </xf>
    <xf numFmtId="0" fontId="8" fillId="11" borderId="0" xfId="0" applyFont="1" applyFill="1" applyAlignment="1">
      <alignment horizontal="right" vertical="center"/>
    </xf>
    <xf numFmtId="0" fontId="5" fillId="0" borderId="0" xfId="0" applyFont="1" applyAlignment="1">
      <alignment horizontal="left" vertical="center"/>
    </xf>
    <xf numFmtId="165" fontId="5" fillId="0" borderId="0" xfId="0" applyNumberFormat="1" applyFont="1">
      <alignment vertical="center"/>
    </xf>
    <xf numFmtId="0" fontId="5" fillId="0" borderId="0" xfId="0" pivotButton="1" applyFont="1">
      <alignment vertical="center"/>
    </xf>
    <xf numFmtId="0" fontId="0" fillId="0" borderId="0" xfId="0" applyAlignment="1">
      <alignment horizontal="center" vertical="center"/>
    </xf>
    <xf numFmtId="0" fontId="5" fillId="4" borderId="5" xfId="0" applyFont="1" applyFill="1" applyBorder="1" applyAlignment="1"/>
    <xf numFmtId="0" fontId="5" fillId="4" borderId="6" xfId="0" applyFont="1" applyFill="1" applyBorder="1" applyAlignment="1"/>
    <xf numFmtId="0" fontId="7" fillId="3" borderId="7" xfId="0" applyFont="1" applyFill="1" applyBorder="1" applyAlignment="1">
      <alignment horizontal="center" vertical="top"/>
    </xf>
    <xf numFmtId="0" fontId="7" fillId="3" borderId="8" xfId="0" applyFont="1" applyFill="1" applyBorder="1" applyAlignment="1">
      <alignment horizontal="center" vertical="top"/>
    </xf>
    <xf numFmtId="0" fontId="7" fillId="3" borderId="9" xfId="0" applyFont="1" applyFill="1" applyBorder="1" applyAlignment="1">
      <alignment horizontal="center" vertical="top"/>
    </xf>
    <xf numFmtId="0" fontId="5" fillId="4" borderId="10" xfId="0" applyFont="1" applyFill="1" applyBorder="1" applyAlignment="1"/>
    <xf numFmtId="0" fontId="5" fillId="4" borderId="11" xfId="0" applyFont="1" applyFill="1" applyBorder="1" applyAlignment="1"/>
    <xf numFmtId="165" fontId="5" fillId="4" borderId="11" xfId="0" applyNumberFormat="1" applyFont="1" applyFill="1" applyBorder="1" applyAlignment="1"/>
    <xf numFmtId="0" fontId="5" fillId="4" borderId="12" xfId="0" applyFont="1" applyFill="1" applyBorder="1" applyAlignment="1"/>
    <xf numFmtId="0" fontId="5" fillId="14" borderId="0" xfId="0" applyFont="1" applyFill="1">
      <alignment vertical="center"/>
    </xf>
    <xf numFmtId="0" fontId="11" fillId="14" borderId="0" xfId="0" applyFont="1" applyFill="1">
      <alignment vertical="center"/>
    </xf>
    <xf numFmtId="0" fontId="12" fillId="0" borderId="0" xfId="0" pivotButton="1" applyFont="1">
      <alignment vertical="center"/>
    </xf>
    <xf numFmtId="0" fontId="12" fillId="0" borderId="0" xfId="0" applyFont="1">
      <alignment vertical="center"/>
    </xf>
    <xf numFmtId="0" fontId="12" fillId="0" borderId="0" xfId="0" applyFont="1" applyAlignment="1">
      <alignment horizontal="left" vertical="center"/>
    </xf>
    <xf numFmtId="0" fontId="14" fillId="0" borderId="0" xfId="0" applyFont="1" applyAlignment="1">
      <alignment horizontal="center" vertical="top"/>
    </xf>
    <xf numFmtId="165" fontId="14" fillId="0" borderId="0" xfId="0" applyNumberFormat="1" applyFont="1" applyAlignment="1">
      <alignment horizontal="center" vertical="top"/>
    </xf>
    <xf numFmtId="0" fontId="16" fillId="16" borderId="13" xfId="0" applyFont="1" applyFill="1" applyBorder="1">
      <alignment vertical="center"/>
    </xf>
    <xf numFmtId="0" fontId="16" fillId="16" borderId="16" xfId="0" applyFont="1" applyFill="1" applyBorder="1">
      <alignment vertical="center"/>
    </xf>
    <xf numFmtId="0" fontId="16" fillId="15" borderId="21" xfId="0" applyFont="1" applyFill="1" applyBorder="1">
      <alignment vertical="center"/>
    </xf>
    <xf numFmtId="0" fontId="16" fillId="6" borderId="17" xfId="0" applyFont="1" applyFill="1" applyBorder="1">
      <alignment vertical="center"/>
    </xf>
    <xf numFmtId="167" fontId="16" fillId="15" borderId="21" xfId="0" applyNumberFormat="1" applyFont="1" applyFill="1" applyBorder="1">
      <alignment vertical="center"/>
    </xf>
    <xf numFmtId="10" fontId="16" fillId="6" borderId="18" xfId="2" applyNumberFormat="1" applyFont="1" applyFill="1" applyBorder="1" applyAlignment="1">
      <alignment vertical="center"/>
    </xf>
    <xf numFmtId="10" fontId="16" fillId="15" borderId="20" xfId="2" applyNumberFormat="1" applyFont="1" applyFill="1" applyBorder="1" applyAlignment="1">
      <alignment vertical="center"/>
    </xf>
    <xf numFmtId="10" fontId="0" fillId="8" borderId="18" xfId="0" applyNumberFormat="1" applyFill="1" applyBorder="1">
      <alignment vertical="center"/>
    </xf>
    <xf numFmtId="0" fontId="1" fillId="17" borderId="13" xfId="0" applyFont="1" applyFill="1" applyBorder="1">
      <alignment vertical="center"/>
    </xf>
    <xf numFmtId="10" fontId="1" fillId="17" borderId="13" xfId="0" applyNumberFormat="1" applyFont="1" applyFill="1" applyBorder="1">
      <alignment vertical="center"/>
    </xf>
    <xf numFmtId="0" fontId="1" fillId="8" borderId="21" xfId="0" applyFont="1" applyFill="1" applyBorder="1">
      <alignment vertical="center"/>
    </xf>
    <xf numFmtId="0" fontId="1" fillId="8" borderId="17" xfId="0" applyFont="1" applyFill="1" applyBorder="1">
      <alignment vertical="center"/>
    </xf>
    <xf numFmtId="10" fontId="1" fillId="8" borderId="21" xfId="0" applyNumberFormat="1" applyFont="1" applyFill="1" applyBorder="1">
      <alignment vertical="center"/>
    </xf>
    <xf numFmtId="10" fontId="0" fillId="8" borderId="17" xfId="0" applyNumberFormat="1" applyFill="1" applyBorder="1">
      <alignment vertical="center"/>
    </xf>
    <xf numFmtId="10" fontId="1" fillId="8" borderId="19" xfId="0" applyNumberFormat="1" applyFont="1" applyFill="1" applyBorder="1">
      <alignment vertical="center"/>
    </xf>
    <xf numFmtId="0" fontId="6" fillId="2" borderId="2" xfId="0" applyFont="1" applyFill="1" applyBorder="1" applyAlignment="1">
      <alignment horizontal="center"/>
    </xf>
    <xf numFmtId="0" fontId="6" fillId="2" borderId="3" xfId="0" applyFont="1" applyFill="1" applyBorder="1" applyAlignment="1">
      <alignment horizontal="center"/>
    </xf>
    <xf numFmtId="0" fontId="6" fillId="2" borderId="4" xfId="0" applyFont="1" applyFill="1" applyBorder="1" applyAlignment="1">
      <alignment horizontal="center"/>
    </xf>
    <xf numFmtId="0" fontId="17" fillId="17" borderId="0" xfId="0" applyFont="1" applyFill="1" applyAlignment="1">
      <alignment horizontal="center" vertical="center"/>
    </xf>
    <xf numFmtId="0" fontId="18" fillId="17" borderId="0" xfId="0" applyFont="1" applyFill="1" applyAlignment="1">
      <alignment horizontal="center" vertical="center"/>
    </xf>
    <xf numFmtId="0" fontId="19" fillId="8" borderId="0" xfId="0" applyFont="1" applyFill="1" applyAlignment="1">
      <alignment horizontal="center" vertical="center"/>
    </xf>
    <xf numFmtId="0" fontId="15" fillId="5" borderId="14" xfId="0" applyFont="1" applyFill="1" applyBorder="1" applyAlignment="1">
      <alignment horizontal="center" vertical="center"/>
    </xf>
    <xf numFmtId="0" fontId="15" fillId="5" borderId="15" xfId="0" applyFont="1" applyFill="1" applyBorder="1" applyAlignment="1">
      <alignment horizontal="center" vertical="center"/>
    </xf>
    <xf numFmtId="0" fontId="15" fillId="5" borderId="16" xfId="0" applyFont="1" applyFill="1" applyBorder="1" applyAlignment="1">
      <alignment horizontal="center" vertical="center"/>
    </xf>
    <xf numFmtId="0" fontId="3" fillId="13" borderId="0" xfId="0" applyFont="1" applyFill="1" applyAlignment="1">
      <alignment horizontal="center" vertical="center"/>
    </xf>
  </cellXfs>
  <cellStyles count="3">
    <cellStyle name="Comma" xfId="1" builtinId="3"/>
    <cellStyle name="Normal" xfId="0" builtinId="0"/>
    <cellStyle name="Percent" xfId="2" builtinId="5"/>
  </cellStyles>
  <dxfs count="86">
    <dxf>
      <font>
        <sz val="20"/>
      </font>
    </dxf>
    <dxf>
      <font>
        <sz val="20"/>
      </font>
    </dxf>
    <dxf>
      <font>
        <sz val="20"/>
      </font>
    </dxf>
    <dxf>
      <font>
        <sz val="20"/>
      </font>
    </dxf>
    <dxf>
      <font>
        <sz val="20"/>
      </font>
    </dxf>
    <dxf>
      <font>
        <sz val="20"/>
      </font>
    </dxf>
    <dxf>
      <fill>
        <patternFill patternType="solid">
          <bgColor theme="4" tint="0.79998168889431442"/>
        </patternFill>
      </fill>
    </dxf>
    <dxf>
      <font>
        <sz val="18"/>
      </font>
    </dxf>
    <dxf>
      <font>
        <sz val="18"/>
      </font>
    </dxf>
    <dxf>
      <font>
        <sz val="18"/>
      </font>
    </dxf>
    <dxf>
      <font>
        <sz val="18"/>
      </font>
    </dxf>
    <dxf>
      <font>
        <sz val="18"/>
      </font>
    </dxf>
    <dxf>
      <font>
        <sz val="18"/>
      </font>
    </dxf>
    <dxf>
      <font>
        <sz val="14"/>
      </font>
    </dxf>
    <dxf>
      <font>
        <sz val="14"/>
      </font>
    </dxf>
    <dxf>
      <font>
        <sz val="14"/>
      </font>
    </dxf>
    <dxf>
      <alignment horizontal="center"/>
    </dxf>
    <dxf>
      <alignment horizontal="center"/>
    </dxf>
    <dxf>
      <alignment horizontal="center"/>
    </dxf>
    <dxf>
      <alignment vertical="top"/>
    </dxf>
    <dxf>
      <alignment vertical="top"/>
    </dxf>
    <dxf>
      <alignment vertical="top"/>
    </dxf>
    <dxf>
      <font>
        <sz val="16"/>
      </font>
    </dxf>
    <dxf>
      <font>
        <sz val="16"/>
      </font>
    </dxf>
    <dxf>
      <font>
        <sz val="16"/>
      </font>
    </dxf>
    <dxf>
      <font>
        <b val="0"/>
      </font>
    </dxf>
    <dxf>
      <font>
        <b val="0"/>
      </font>
    </dxf>
    <dxf>
      <font>
        <b val="0"/>
      </font>
    </dxf>
    <dxf>
      <font>
        <name val="Calibri"/>
        <family val="2"/>
        <scheme val="minor"/>
      </font>
    </dxf>
    <dxf>
      <font>
        <name val="Calibri"/>
        <family val="2"/>
        <scheme val="minor"/>
      </font>
    </dxf>
    <dxf>
      <font>
        <color auto="1"/>
      </font>
    </dxf>
    <dxf>
      <font>
        <color auto="1"/>
      </font>
    </dxf>
    <dxf>
      <fill>
        <patternFill>
          <bgColor theme="4" tint="0.79998168889431442"/>
        </patternFill>
      </fill>
    </dxf>
    <dxf>
      <fill>
        <patternFill>
          <bgColor theme="4" tint="0.79998168889431442"/>
        </patternFill>
      </fill>
    </dxf>
    <dxf>
      <font>
        <name val="Cambria"/>
        <family val="1"/>
        <scheme val="none"/>
      </font>
    </dxf>
    <dxf>
      <font>
        <b val="0"/>
      </font>
    </dxf>
    <dxf>
      <font>
        <color theme="0"/>
      </font>
    </dxf>
    <dxf>
      <font>
        <sz val="18"/>
      </font>
    </dxf>
    <dxf>
      <fill>
        <patternFill patternType="solid">
          <bgColor rgb="FF00B050"/>
        </patternFill>
      </fill>
    </dxf>
    <dxf>
      <font>
        <sz val="18"/>
      </font>
    </dxf>
    <dxf>
      <font>
        <sz val="18"/>
      </font>
    </dxf>
    <dxf>
      <font>
        <sz val="18"/>
      </font>
    </dxf>
    <dxf>
      <font>
        <sz val="20"/>
      </font>
    </dxf>
    <dxf>
      <font>
        <sz val="20"/>
      </font>
    </dxf>
    <dxf>
      <font>
        <sz val="18"/>
      </font>
    </dxf>
    <dxf>
      <font>
        <sz val="16"/>
      </font>
    </dxf>
    <dxf>
      <font>
        <sz val="18"/>
      </font>
    </dxf>
    <dxf>
      <fill>
        <patternFill>
          <bgColor rgb="FF00B050"/>
        </patternFill>
      </fill>
    </dxf>
    <dxf>
      <fill>
        <patternFill>
          <bgColor rgb="FF00B050"/>
        </patternFill>
      </fill>
    </dxf>
    <dxf>
      <fill>
        <patternFill>
          <bgColor rgb="FF00B050"/>
        </patternFill>
      </fill>
    </dxf>
    <dxf>
      <border>
        <top/>
        <bottom/>
      </border>
    </dxf>
    <dxf>
      <font>
        <sz val="18"/>
      </font>
    </dxf>
    <dxf>
      <font>
        <sz val="18"/>
      </font>
    </dxf>
    <dxf>
      <font>
        <sz val="14"/>
      </font>
    </dxf>
    <dxf>
      <font>
        <name val="Cambria"/>
        <family val="1"/>
        <scheme val="none"/>
      </font>
    </dxf>
    <dxf>
      <font>
        <name val="Cambria"/>
        <family val="1"/>
        <scheme val="none"/>
      </font>
    </dxf>
    <dxf>
      <font>
        <color theme="0"/>
      </font>
    </dxf>
    <dxf>
      <font>
        <color theme="0"/>
      </font>
    </dxf>
    <dxf>
      <fill>
        <patternFill patternType="solid">
          <bgColor rgb="FFA96250"/>
        </patternFill>
      </fill>
    </dxf>
    <dxf>
      <fill>
        <patternFill patternType="solid">
          <bgColor rgb="FFA96250"/>
        </patternFill>
      </fill>
    </dxf>
    <dxf>
      <font>
        <b val="0"/>
        <i val="0"/>
        <strike val="0"/>
        <condense val="0"/>
        <extend val="0"/>
        <outline val="0"/>
        <shadow val="0"/>
        <u val="none"/>
        <vertAlign val="baseline"/>
        <sz val="18"/>
        <color theme="1"/>
        <name val="Calibri"/>
        <family val="2"/>
        <scheme val="minor"/>
      </font>
      <fill>
        <patternFill patternType="solid">
          <fgColor indexed="64"/>
          <bgColor theme="0"/>
        </patternFill>
      </fill>
      <alignment horizontal="general" vertical="bottom" textRotation="0" wrapText="0" indent="0" justifyLastLine="0" shrinkToFit="0" readingOrder="0"/>
      <border diagonalUp="0" diagonalDown="0">
        <left style="thin">
          <color auto="1"/>
        </left>
        <right/>
        <top style="thin">
          <color auto="1"/>
        </top>
        <bottom style="thin">
          <color auto="1"/>
        </bottom>
        <vertical/>
        <horizontal/>
      </border>
    </dxf>
    <dxf>
      <font>
        <b val="0"/>
        <i val="0"/>
        <strike val="0"/>
        <condense val="0"/>
        <extend val="0"/>
        <outline val="0"/>
        <shadow val="0"/>
        <u val="none"/>
        <vertAlign val="baseline"/>
        <sz val="18"/>
        <color theme="1"/>
        <name val="Calibri"/>
        <family val="2"/>
        <scheme val="minor"/>
      </font>
      <numFmt numFmtId="165" formatCode="[$₹-44B]#,##0_);\([$₹-44B]#,##0\)"/>
      <fill>
        <patternFill patternType="solid">
          <fgColor indexed="64"/>
          <bgColor theme="0"/>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0"/>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0"/>
        </patternFill>
      </fill>
      <alignment horizontal="general" vertical="bottom"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8"/>
        <color theme="1"/>
        <name val="Calibri"/>
        <family val="2"/>
        <scheme val="minor"/>
      </font>
      <fill>
        <patternFill patternType="solid">
          <fgColor indexed="64"/>
          <bgColor theme="0"/>
        </patternFill>
      </fill>
      <alignment horizontal="general" vertical="bottom" textRotation="0" wrapText="0" indent="0" justifyLastLine="0" shrinkToFit="0" readingOrder="0"/>
      <border diagonalUp="0" diagonalDown="0">
        <left/>
        <right style="thin">
          <color auto="1"/>
        </right>
        <top style="thin">
          <color auto="1"/>
        </top>
        <bottom style="thin">
          <color auto="1"/>
        </bottom>
        <vertical/>
        <horizontal/>
      </border>
    </dxf>
    <dxf>
      <border outline="0">
        <top style="thin">
          <color auto="1"/>
        </top>
      </border>
    </dxf>
    <dxf>
      <border outline="0">
        <left style="thin">
          <color auto="1"/>
        </left>
        <right style="thin">
          <color auto="1"/>
        </right>
        <top style="thin">
          <color auto="1"/>
        </top>
        <bottom style="thin">
          <color auto="1"/>
        </bottom>
      </border>
    </dxf>
    <dxf>
      <border outline="0">
        <bottom style="thin">
          <color auto="1"/>
        </bottom>
      </border>
    </dxf>
    <dxf>
      <font>
        <b/>
        <i val="0"/>
        <strike val="0"/>
        <condense val="0"/>
        <extend val="0"/>
        <outline val="0"/>
        <shadow val="0"/>
        <u val="none"/>
        <vertAlign val="baseline"/>
        <sz val="22"/>
        <color theme="0"/>
        <name val="Times New Roman"/>
        <family val="1"/>
        <scheme val="none"/>
      </font>
      <fill>
        <patternFill patternType="solid">
          <fgColor indexed="64"/>
          <bgColor rgb="FFA96250"/>
        </patternFill>
      </fill>
      <alignment horizontal="center" vertical="top" textRotation="0" wrapText="0" indent="0" justifyLastLine="0" shrinkToFit="0" readingOrder="0"/>
      <border diagonalUp="0" diagonalDown="0" outline="0">
        <left style="thin">
          <color auto="1"/>
        </left>
        <right style="thin">
          <color auto="1"/>
        </right>
        <top/>
        <bottom/>
      </border>
    </dxf>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85"/>
      <tableStyleElement type="headerRow" dxfId="84"/>
      <tableStyleElement type="totalRow" dxfId="83"/>
      <tableStyleElement type="firstColumn" dxfId="82"/>
      <tableStyleElement type="lastColumn" dxfId="81"/>
      <tableStyleElement type="firstRowStripe" dxfId="80"/>
      <tableStyleElement type="firstColumnStripe" dxfId="79"/>
    </tableStyle>
    <tableStyle name="PivotStylePreset2_Accent1" table="0" count="10" xr9:uid="{267968C8-6FFD-4C36-ACC1-9EA1FD1885CA}">
      <tableStyleElement type="headerRow" dxfId="78"/>
      <tableStyleElement type="totalRow" dxfId="77"/>
      <tableStyleElement type="firstRowStripe" dxfId="76"/>
      <tableStyleElement type="firstColumnStripe" dxfId="75"/>
      <tableStyleElement type="firstSubtotalRow" dxfId="74"/>
      <tableStyleElement type="secondSubtotalRow" dxfId="73"/>
      <tableStyleElement type="firstRowSubheading" dxfId="72"/>
      <tableStyleElement type="secondRowSubheading" dxfId="71"/>
      <tableStyleElement type="pageFieldLabels" dxfId="70"/>
      <tableStyleElement type="pageFieldValues" dxfId="69"/>
    </tableStyle>
  </tableStyles>
  <colors>
    <mruColors>
      <color rgb="FF2685CE"/>
      <color rgb="FF23C5CF"/>
      <color rgb="FF4692AE"/>
      <color rgb="FFA96250"/>
      <color rgb="FF807D8B"/>
      <color rgb="FF9C606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2.xml"/><Relationship Id="rId10" Type="http://schemas.microsoft.com/office/2007/relationships/slicerCache" Target="slicerCaches/slicerCache5.xml"/><Relationship Id="rId4" Type="http://schemas.openxmlformats.org/officeDocument/2006/relationships/pivotCacheDefinition" Target="pivotCache/pivotCacheDefinition1.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01.xlsx]Location Based Performance!City_wise_Pivot</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IN"/>
              <a:t>City-wise Sales Trend (₹ Sales Amount)  </a:t>
            </a:r>
            <a:endParaRPr lang="en-US"/>
          </a:p>
        </c:rich>
      </c:tx>
      <c:layout>
        <c:manualLayout>
          <c:xMode val="edge"/>
          <c:yMode val="edge"/>
          <c:x val="0.30012126868196254"/>
          <c:y val="5.0551671658206357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'Location Based Performance'!$C$7</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'Location Based Performance'!$B$8:$B$56</c:f>
              <c:strCache>
                <c:ptCount val="48"/>
                <c:pt idx="0">
                  <c:v>Agra</c:v>
                </c:pt>
                <c:pt idx="1">
                  <c:v>Ahmedabad</c:v>
                </c:pt>
                <c:pt idx="2">
                  <c:v>Amritsar</c:v>
                </c:pt>
                <c:pt idx="3">
                  <c:v>Aurangabad</c:v>
                </c:pt>
                <c:pt idx="4">
                  <c:v>Bareilly</c:v>
                </c:pt>
                <c:pt idx="5">
                  <c:v>Bengaluru</c:v>
                </c:pt>
                <c:pt idx="6">
                  <c:v>Bhopal</c:v>
                </c:pt>
                <c:pt idx="7">
                  <c:v>Chandigarh</c:v>
                </c:pt>
                <c:pt idx="8">
                  <c:v>Chennai</c:v>
                </c:pt>
                <c:pt idx="9">
                  <c:v>Coimbatore</c:v>
                </c:pt>
                <c:pt idx="10">
                  <c:v>Dehradun</c:v>
                </c:pt>
                <c:pt idx="11">
                  <c:v>Delhi</c:v>
                </c:pt>
                <c:pt idx="12">
                  <c:v>Faridabad</c:v>
                </c:pt>
                <c:pt idx="13">
                  <c:v>Ghaziabad</c:v>
                </c:pt>
                <c:pt idx="14">
                  <c:v>Gurgaon</c:v>
                </c:pt>
                <c:pt idx="15">
                  <c:v>Guwahati</c:v>
                </c:pt>
                <c:pt idx="16">
                  <c:v>Gwalior</c:v>
                </c:pt>
                <c:pt idx="17">
                  <c:v>Hyderabad</c:v>
                </c:pt>
                <c:pt idx="18">
                  <c:v>Indore</c:v>
                </c:pt>
                <c:pt idx="19">
                  <c:v>Jabalpur</c:v>
                </c:pt>
                <c:pt idx="20">
                  <c:v>Jaipur</c:v>
                </c:pt>
                <c:pt idx="21">
                  <c:v>Jodhpur</c:v>
                </c:pt>
                <c:pt idx="22">
                  <c:v>Kanpur</c:v>
                </c:pt>
                <c:pt idx="23">
                  <c:v>Kolkata</c:v>
                </c:pt>
                <c:pt idx="24">
                  <c:v>Lucknow</c:v>
                </c:pt>
                <c:pt idx="25">
                  <c:v>Ludhiana</c:v>
                </c:pt>
                <c:pt idx="26">
                  <c:v>Madurai</c:v>
                </c:pt>
                <c:pt idx="27">
                  <c:v>Mangalore</c:v>
                </c:pt>
                <c:pt idx="28">
                  <c:v>Meerut</c:v>
                </c:pt>
                <c:pt idx="29">
                  <c:v>Mumbai</c:v>
                </c:pt>
                <c:pt idx="30">
                  <c:v>Mysuru</c:v>
                </c:pt>
                <c:pt idx="31">
                  <c:v>Nagpur</c:v>
                </c:pt>
                <c:pt idx="32">
                  <c:v>Nashik</c:v>
                </c:pt>
                <c:pt idx="33">
                  <c:v>Noida</c:v>
                </c:pt>
                <c:pt idx="34">
                  <c:v>Patna</c:v>
                </c:pt>
                <c:pt idx="35">
                  <c:v>Pune</c:v>
                </c:pt>
                <c:pt idx="36">
                  <c:v>Raipur</c:v>
                </c:pt>
                <c:pt idx="37">
                  <c:v>Rajkot</c:v>
                </c:pt>
                <c:pt idx="38">
                  <c:v>Ranchi</c:v>
                </c:pt>
                <c:pt idx="39">
                  <c:v>Salem</c:v>
                </c:pt>
                <c:pt idx="40">
                  <c:v>Surat</c:v>
                </c:pt>
                <c:pt idx="41">
                  <c:v>Thiruvananthapuram</c:v>
                </c:pt>
                <c:pt idx="42">
                  <c:v>Udaipur</c:v>
                </c:pt>
                <c:pt idx="43">
                  <c:v>Vadodara</c:v>
                </c:pt>
                <c:pt idx="44">
                  <c:v>Varanasi</c:v>
                </c:pt>
                <c:pt idx="45">
                  <c:v>Vijayawada</c:v>
                </c:pt>
                <c:pt idx="46">
                  <c:v>Visakhapatnam</c:v>
                </c:pt>
                <c:pt idx="47">
                  <c:v>Warangal</c:v>
                </c:pt>
              </c:strCache>
            </c:strRef>
          </c:cat>
          <c:val>
            <c:numRef>
              <c:f>'Location Based Performance'!$C$8:$C$56</c:f>
              <c:numCache>
                <c:formatCode>[$₹-44B]#,##0_);\([$₹-44B]#,##0\)</c:formatCode>
                <c:ptCount val="48"/>
                <c:pt idx="0">
                  <c:v>211124</c:v>
                </c:pt>
                <c:pt idx="1">
                  <c:v>202480</c:v>
                </c:pt>
                <c:pt idx="2">
                  <c:v>18080</c:v>
                </c:pt>
                <c:pt idx="3">
                  <c:v>71682</c:v>
                </c:pt>
                <c:pt idx="4">
                  <c:v>104971</c:v>
                </c:pt>
                <c:pt idx="5">
                  <c:v>219613</c:v>
                </c:pt>
                <c:pt idx="6">
                  <c:v>84693</c:v>
                </c:pt>
                <c:pt idx="7">
                  <c:v>222063</c:v>
                </c:pt>
                <c:pt idx="8">
                  <c:v>261445</c:v>
                </c:pt>
                <c:pt idx="9">
                  <c:v>181386</c:v>
                </c:pt>
                <c:pt idx="10">
                  <c:v>450915</c:v>
                </c:pt>
                <c:pt idx="11">
                  <c:v>116024</c:v>
                </c:pt>
                <c:pt idx="12">
                  <c:v>238066</c:v>
                </c:pt>
                <c:pt idx="13">
                  <c:v>105020</c:v>
                </c:pt>
                <c:pt idx="14">
                  <c:v>154740</c:v>
                </c:pt>
                <c:pt idx="15">
                  <c:v>113094</c:v>
                </c:pt>
                <c:pt idx="16">
                  <c:v>167227</c:v>
                </c:pt>
                <c:pt idx="17">
                  <c:v>75327</c:v>
                </c:pt>
                <c:pt idx="18">
                  <c:v>271495</c:v>
                </c:pt>
                <c:pt idx="19">
                  <c:v>168077</c:v>
                </c:pt>
                <c:pt idx="20">
                  <c:v>342711</c:v>
                </c:pt>
                <c:pt idx="21">
                  <c:v>318617</c:v>
                </c:pt>
                <c:pt idx="22">
                  <c:v>113242</c:v>
                </c:pt>
                <c:pt idx="23">
                  <c:v>289136</c:v>
                </c:pt>
                <c:pt idx="24">
                  <c:v>212626</c:v>
                </c:pt>
                <c:pt idx="25">
                  <c:v>67228</c:v>
                </c:pt>
                <c:pt idx="26">
                  <c:v>249615</c:v>
                </c:pt>
                <c:pt idx="27">
                  <c:v>36826</c:v>
                </c:pt>
                <c:pt idx="28">
                  <c:v>247523</c:v>
                </c:pt>
                <c:pt idx="29">
                  <c:v>181782</c:v>
                </c:pt>
                <c:pt idx="30">
                  <c:v>144032</c:v>
                </c:pt>
                <c:pt idx="31">
                  <c:v>157248</c:v>
                </c:pt>
                <c:pt idx="32">
                  <c:v>218909</c:v>
                </c:pt>
                <c:pt idx="33">
                  <c:v>151605</c:v>
                </c:pt>
                <c:pt idx="34">
                  <c:v>277750</c:v>
                </c:pt>
                <c:pt idx="35">
                  <c:v>71609</c:v>
                </c:pt>
                <c:pt idx="36">
                  <c:v>39305</c:v>
                </c:pt>
                <c:pt idx="37">
                  <c:v>124746</c:v>
                </c:pt>
                <c:pt idx="38">
                  <c:v>338917</c:v>
                </c:pt>
                <c:pt idx="39">
                  <c:v>90627</c:v>
                </c:pt>
                <c:pt idx="40">
                  <c:v>220289</c:v>
                </c:pt>
                <c:pt idx="41">
                  <c:v>188318</c:v>
                </c:pt>
                <c:pt idx="42">
                  <c:v>216135</c:v>
                </c:pt>
                <c:pt idx="43">
                  <c:v>255148</c:v>
                </c:pt>
                <c:pt idx="44">
                  <c:v>343815</c:v>
                </c:pt>
                <c:pt idx="45">
                  <c:v>107680</c:v>
                </c:pt>
                <c:pt idx="46">
                  <c:v>210198</c:v>
                </c:pt>
                <c:pt idx="47">
                  <c:v>191191</c:v>
                </c:pt>
              </c:numCache>
            </c:numRef>
          </c:val>
          <c:smooth val="0"/>
          <c:extLst>
            <c:ext xmlns:c16="http://schemas.microsoft.com/office/drawing/2014/chart" uri="{C3380CC4-5D6E-409C-BE32-E72D297353CC}">
              <c16:uniqueId val="{00000000-AA1D-4D78-98D6-FC7029494CA0}"/>
            </c:ext>
          </c:extLst>
        </c:ser>
        <c:dLbls>
          <c:showLegendKey val="0"/>
          <c:showVal val="0"/>
          <c:showCatName val="0"/>
          <c:showSerName val="0"/>
          <c:showPercent val="0"/>
          <c:showBubbleSize val="0"/>
        </c:dLbls>
        <c:marker val="1"/>
        <c:smooth val="0"/>
        <c:axId val="1244897999"/>
        <c:axId val="1244905679"/>
      </c:lineChart>
      <c:catAx>
        <c:axId val="1244897999"/>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cities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44905679"/>
        <c:crosses val="autoZero"/>
        <c:auto val="1"/>
        <c:lblAlgn val="ctr"/>
        <c:lblOffset val="100"/>
        <c:noMultiLvlLbl val="0"/>
      </c:catAx>
      <c:valAx>
        <c:axId val="1244905679"/>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IN"/>
                  <a:t>sales amount(in </a:t>
                </a:r>
                <a:r>
                  <a:rPr lang="en-IN" sz="800" b="1" i="0" u="none" strike="noStrike" kern="1200" cap="all" baseline="0">
                    <a:solidFill>
                      <a:sysClr val="window" lastClr="FFFFFF">
                        <a:lumMod val="85000"/>
                      </a:sysClr>
                    </a:solidFill>
                  </a:rPr>
                  <a:t>₹ )</a:t>
                </a:r>
                <a:endParaRPr lang="en-IN"/>
              </a:p>
            </c:rich>
          </c:tx>
          <c:layout>
            <c:manualLayout>
              <c:xMode val="edge"/>
              <c:yMode val="edge"/>
              <c:x val="8.9407200342000136E-3"/>
              <c:y val="0.35424756491745668"/>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IN"/>
            </a:p>
          </c:txPr>
        </c:title>
        <c:numFmt formatCode="[$₹-44B]#,##0_);\([$₹-44B]#,##0\)" sourceLinked="1"/>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lt1">
                    <a:lumMod val="85000"/>
                  </a:schemeClr>
                </a:solidFill>
                <a:latin typeface="+mn-lt"/>
                <a:ea typeface="+mn-ea"/>
                <a:cs typeface="+mn-cs"/>
              </a:defRPr>
            </a:pPr>
            <a:endParaRPr lang="en-US"/>
          </a:p>
        </c:txPr>
        <c:crossAx val="12448979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normalizeH="0" baseline="0">
                <a:solidFill>
                  <a:schemeClr val="dk1">
                    <a:lumMod val="50000"/>
                    <a:lumOff val="50000"/>
                  </a:schemeClr>
                </a:solidFill>
                <a:latin typeface="Calibri" panose="020F0502020204030204" pitchFamily="34" charset="0"/>
                <a:ea typeface="Calibri" panose="020F0502020204030204" pitchFamily="34" charset="0"/>
                <a:cs typeface="Calibri" panose="020F0502020204030204" pitchFamily="34" charset="0"/>
              </a:defRPr>
            </a:pPr>
            <a:r>
              <a:rPr lang="en-IN" sz="1800">
                <a:latin typeface="Calibri" panose="020F0502020204030204" pitchFamily="34" charset="0"/>
                <a:ea typeface="Calibri" panose="020F0502020204030204" pitchFamily="34" charset="0"/>
                <a:cs typeface="Calibri" panose="020F0502020204030204" pitchFamily="34" charset="0"/>
              </a:rPr>
              <a:t>Sales Progress Tracker</a:t>
            </a:r>
          </a:p>
        </c:rich>
      </c:tx>
      <c:overlay val="0"/>
      <c:spPr>
        <a:noFill/>
        <a:ln>
          <a:noFill/>
        </a:ln>
        <a:effectLst/>
      </c:spPr>
      <c:txPr>
        <a:bodyPr rot="0" spcFirstLastPara="1" vertOverflow="ellipsis" vert="horz" wrap="square" anchor="ctr" anchorCtr="1"/>
        <a:lstStyle/>
        <a:p>
          <a:pPr>
            <a:defRPr sz="1800" b="1" i="0" u="none" strike="noStrike" kern="1200" spc="0" normalizeH="0" baseline="0">
              <a:solidFill>
                <a:schemeClr val="dk1">
                  <a:lumMod val="50000"/>
                  <a:lumOff val="50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lotArea>
      <c:layout/>
      <c:doughnutChart>
        <c:varyColors val="1"/>
        <c:ser>
          <c:idx val="0"/>
          <c:order val="0"/>
          <c:dPt>
            <c:idx val="0"/>
            <c:bubble3D val="0"/>
            <c:spPr>
              <a:gradFill>
                <a:gsLst>
                  <a:gs pos="100000">
                    <a:schemeClr val="accent1">
                      <a:lumMod val="60000"/>
                      <a:lumOff val="40000"/>
                    </a:schemeClr>
                  </a:gs>
                  <a:gs pos="0">
                    <a:schemeClr val="accent1"/>
                  </a:gs>
                </a:gsLst>
                <a:lin ang="5400000" scaled="0"/>
              </a:gradFill>
              <a:ln w="19050">
                <a:solidFill>
                  <a:schemeClr val="lt1"/>
                </a:solidFill>
              </a:ln>
              <a:effectLst/>
            </c:spPr>
            <c:extLst>
              <c:ext xmlns:c16="http://schemas.microsoft.com/office/drawing/2014/chart" uri="{C3380CC4-5D6E-409C-BE32-E72D297353CC}">
                <c16:uniqueId val="{00000001-2B70-4223-A961-B9C5D8CF5AD6}"/>
              </c:ext>
            </c:extLst>
          </c:dPt>
          <c:dPt>
            <c:idx val="1"/>
            <c:bubble3D val="0"/>
            <c:spPr>
              <a:gradFill>
                <a:gsLst>
                  <a:gs pos="100000">
                    <a:schemeClr val="accent2">
                      <a:lumMod val="60000"/>
                      <a:lumOff val="40000"/>
                    </a:schemeClr>
                  </a:gs>
                  <a:gs pos="0">
                    <a:schemeClr val="accent2"/>
                  </a:gs>
                </a:gsLst>
                <a:lin ang="5400000" scaled="0"/>
              </a:gradFill>
              <a:ln w="19050">
                <a:solidFill>
                  <a:schemeClr val="lt1"/>
                </a:solidFill>
              </a:ln>
              <a:effectLst/>
            </c:spPr>
            <c:extLst>
              <c:ext xmlns:c16="http://schemas.microsoft.com/office/drawing/2014/chart" uri="{C3380CC4-5D6E-409C-BE32-E72D297353CC}">
                <c16:uniqueId val="{00000003-2B70-4223-A961-B9C5D8CF5AD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'Location Based Performance'!$R$13:$S$13</c:f>
              <c:strCache>
                <c:ptCount val="2"/>
                <c:pt idx="0">
                  <c:v>Fulfilled Objective</c:v>
                </c:pt>
                <c:pt idx="1">
                  <c:v>Outstanding Target</c:v>
                </c:pt>
              </c:strCache>
            </c:strRef>
          </c:cat>
          <c:val>
            <c:numRef>
              <c:f>'Location Based Performance'!$R$14:$S$14</c:f>
              <c:numCache>
                <c:formatCode>0.00%</c:formatCode>
                <c:ptCount val="2"/>
                <c:pt idx="0">
                  <c:v>0.72040000000000004</c:v>
                </c:pt>
                <c:pt idx="1">
                  <c:v>0.27959999999999996</c:v>
                </c:pt>
              </c:numCache>
            </c:numRef>
          </c:val>
          <c:extLst>
            <c:ext xmlns:c16="http://schemas.microsoft.com/office/drawing/2014/chart" uri="{C3380CC4-5D6E-409C-BE32-E72D297353CC}">
              <c16:uniqueId val="{00000000-DE48-4A81-9CF9-EF1EBC9D2720}"/>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50000"/>
          </a:schemeClr>
        </a:solidFill>
        <a:ln>
          <a:noFill/>
        </a:ln>
        <a:effectLst/>
      </c:spPr>
      <c:txPr>
        <a:bodyPr rot="0" spcFirstLastPara="1" vertOverflow="ellipsis" vert="horz" wrap="square" anchor="ctr" anchorCtr="1"/>
        <a:lstStyle/>
        <a:p>
          <a:pPr>
            <a:defRPr sz="10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r>
              <a:rPr lang="en-IN"/>
              <a:t>Units Goal Progress</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lotArea>
      <c:layout/>
      <c:doughnutChart>
        <c:varyColors val="1"/>
        <c:ser>
          <c:idx val="1"/>
          <c:order val="1"/>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7796-4F60-9525-30C0DBC5FE1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7796-4F60-9525-30C0DBC5FE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'Location Based Performance'!$R$13:$S$13</c:f>
              <c:strCache>
                <c:ptCount val="2"/>
                <c:pt idx="0">
                  <c:v>Fulfilled Objective</c:v>
                </c:pt>
                <c:pt idx="1">
                  <c:v>Outstanding Target</c:v>
                </c:pt>
              </c:strCache>
            </c:strRef>
          </c:cat>
          <c:val>
            <c:numRef>
              <c:f>'Location Based Performance'!$R$15:$S$15</c:f>
              <c:numCache>
                <c:formatCode>0.00%</c:formatCode>
                <c:ptCount val="2"/>
                <c:pt idx="0">
                  <c:v>0.77681818181818185</c:v>
                </c:pt>
                <c:pt idx="1">
                  <c:v>0.22318181818181815</c:v>
                </c:pt>
              </c:numCache>
            </c:numRef>
          </c:val>
          <c:extLst>
            <c:ext xmlns:c16="http://schemas.microsoft.com/office/drawing/2014/chart" uri="{C3380CC4-5D6E-409C-BE32-E72D297353CC}">
              <c16:uniqueId val="{00000001-79B4-4CEE-9AA3-B42C87C8A30E}"/>
            </c:ext>
          </c:extLst>
        </c:ser>
        <c:dLbls>
          <c:showLegendKey val="0"/>
          <c:showVal val="0"/>
          <c:showCatName val="0"/>
          <c:showSerName val="0"/>
          <c:showPercent val="1"/>
          <c:showBubbleSize val="0"/>
          <c:showLeaderLines val="1"/>
        </c:dLbls>
        <c:firstSliceAng val="0"/>
        <c:holeSize val="70"/>
        <c:extLst>
          <c:ext xmlns:c15="http://schemas.microsoft.com/office/drawing/2012/chart" uri="{02D57815-91ED-43cb-92C2-25804820EDAC}">
            <c15:filteredPieSeries>
              <c15:ser>
                <c:idx val="0"/>
                <c:order val="0"/>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7796-4F60-9525-30C0DBC5FE1E}"/>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7796-4F60-9525-30C0DBC5FE1E}"/>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uri="{CE6537A1-D6FC-4f65-9D91-7224C49458BB}"/>
                  </c:extLst>
                </c:dLbls>
                <c:cat>
                  <c:strRef>
                    <c:extLst>
                      <c:ext uri="{02D57815-91ED-43cb-92C2-25804820EDAC}">
                        <c15:formulaRef>
                          <c15:sqref>'Location Based Performance'!$R$13:$S$13</c15:sqref>
                        </c15:formulaRef>
                      </c:ext>
                    </c:extLst>
                    <c:strCache>
                      <c:ptCount val="2"/>
                      <c:pt idx="0">
                        <c:v>Fulfilled Objective</c:v>
                      </c:pt>
                      <c:pt idx="1">
                        <c:v>Outstanding Target</c:v>
                      </c:pt>
                    </c:strCache>
                  </c:strRef>
                </c:cat>
                <c:val>
                  <c:numRef>
                    <c:extLst>
                      <c:ext uri="{02D57815-91ED-43cb-92C2-25804820EDAC}">
                        <c15:formulaRef>
                          <c15:sqref>'Location Based Performance'!$R$14:$S$14</c15:sqref>
                        </c15:formulaRef>
                      </c:ext>
                    </c:extLst>
                    <c:numCache>
                      <c:formatCode>0.00%</c:formatCode>
                      <c:ptCount val="2"/>
                      <c:pt idx="0">
                        <c:v>0.72040000000000004</c:v>
                      </c:pt>
                      <c:pt idx="1">
                        <c:v>0.27959999999999996</c:v>
                      </c:pt>
                    </c:numCache>
                  </c:numRef>
                </c:val>
                <c:extLst>
                  <c:ext xmlns:c16="http://schemas.microsoft.com/office/drawing/2014/chart" uri="{C3380CC4-5D6E-409C-BE32-E72D297353CC}">
                    <c16:uniqueId val="{00000000-79B4-4CEE-9AA3-B42C87C8A30E}"/>
                  </c:ext>
                </c:extLst>
              </c15:ser>
            </c15:filteredPieSeries>
          </c:ext>
        </c:extLst>
      </c:doughnutChart>
      <c:spPr>
        <a:noFill/>
        <a:ln>
          <a:noFill/>
        </a:ln>
        <a:effectLst/>
      </c:spPr>
    </c:plotArea>
    <c:legend>
      <c:legendPos val="b"/>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[Project 01.xlsx]Location Based Performance!Product_wise_pivot</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Units-Sold Product Wise</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'Location Based Performance'!$K$7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'Location Based Performance'!$J$8:$J$18</c:f>
              <c:strCache>
                <c:ptCount val="10"/>
                <c:pt idx="0">
                  <c:v>Automotive</c:v>
                </c:pt>
                <c:pt idx="1">
                  <c:v>Home Appliances</c:v>
                </c:pt>
                <c:pt idx="2">
                  <c:v>Fashion</c:v>
                </c:pt>
                <c:pt idx="3">
                  <c:v>Beauty</c:v>
                </c:pt>
                <c:pt idx="4">
                  <c:v>Sports</c:v>
                </c:pt>
                <c:pt idx="5">
                  <c:v>Books</c:v>
                </c:pt>
                <c:pt idx="6">
                  <c:v>Groceries</c:v>
                </c:pt>
                <c:pt idx="7">
                  <c:v>Toys</c:v>
                </c:pt>
                <c:pt idx="8">
                  <c:v>Furniture</c:v>
                </c:pt>
                <c:pt idx="9">
                  <c:v>Electronics</c:v>
                </c:pt>
              </c:strCache>
            </c:strRef>
          </c:cat>
          <c:val>
            <c:numRef>
              <c:f>'Location Based Performance'!$K$8:$K$18</c:f>
              <c:numCache>
                <c:formatCode>General</c:formatCode>
                <c:ptCount val="10"/>
                <c:pt idx="0">
                  <c:v>286</c:v>
                </c:pt>
                <c:pt idx="1">
                  <c:v>298</c:v>
                </c:pt>
                <c:pt idx="2">
                  <c:v>304</c:v>
                </c:pt>
                <c:pt idx="3">
                  <c:v>323</c:v>
                </c:pt>
                <c:pt idx="4">
                  <c:v>324</c:v>
                </c:pt>
                <c:pt idx="5">
                  <c:v>348</c:v>
                </c:pt>
                <c:pt idx="6">
                  <c:v>361</c:v>
                </c:pt>
                <c:pt idx="7">
                  <c:v>376</c:v>
                </c:pt>
                <c:pt idx="8">
                  <c:v>386</c:v>
                </c:pt>
                <c:pt idx="9">
                  <c:v>412</c:v>
                </c:pt>
              </c:numCache>
            </c:numRef>
          </c:val>
          <c:extLst>
            <c:ext xmlns:c16="http://schemas.microsoft.com/office/drawing/2014/chart" uri="{C3380CC4-5D6E-409C-BE32-E72D297353CC}">
              <c16:uniqueId val="{00000000-34C6-4965-9718-04B788B1D1D1}"/>
            </c:ext>
          </c:extLst>
        </c:ser>
        <c:dLbls>
          <c:dLblPos val="inEnd"/>
          <c:showLegendKey val="0"/>
          <c:showVal val="1"/>
          <c:showCatName val="0"/>
          <c:showSerName val="0"/>
          <c:showPercent val="0"/>
          <c:showBubbleSize val="0"/>
        </c:dLbls>
        <c:gapWidth val="65"/>
        <c:axId val="1244954159"/>
        <c:axId val="1244955119"/>
      </c:barChart>
      <c:catAx>
        <c:axId val="1244954159"/>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Product Category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000" b="0" i="0" u="none" strike="noStrike" kern="1200" cap="all" baseline="0">
                <a:solidFill>
                  <a:schemeClr val="dk1">
                    <a:lumMod val="75000"/>
                    <a:lumOff val="25000"/>
                  </a:schemeClr>
                </a:solidFill>
                <a:latin typeface="+mn-lt"/>
                <a:ea typeface="+mn-ea"/>
                <a:cs typeface="+mn-cs"/>
              </a:defRPr>
            </a:pPr>
            <a:endParaRPr lang="en-US"/>
          </a:p>
        </c:txPr>
        <c:crossAx val="1244955119"/>
        <c:crosses val="autoZero"/>
        <c:auto val="1"/>
        <c:lblAlgn val="ctr"/>
        <c:lblOffset val="100"/>
        <c:noMultiLvlLbl val="0"/>
      </c:catAx>
      <c:valAx>
        <c:axId val="1244955119"/>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IN"/>
                  <a:t>No of Units</a:t>
                </a:r>
              </a:p>
            </c:rich>
          </c:tx>
          <c:layout>
            <c:manualLayout>
              <c:xMode val="edge"/>
              <c:yMode val="edge"/>
              <c:x val="0.51588155635419952"/>
              <c:y val="0.937403582040035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dk1">
                    <a:lumMod val="75000"/>
                    <a:lumOff val="25000"/>
                  </a:schemeClr>
                </a:solidFill>
                <a:latin typeface="+mn-lt"/>
                <a:ea typeface="+mn-ea"/>
                <a:cs typeface="+mn-cs"/>
              </a:defRPr>
            </a:pPr>
            <a:endParaRPr lang="en-US"/>
          </a:p>
        </c:txPr>
        <c:crossAx val="12449541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rich>
          <a:bodyPr spcFirstLastPara="1" vertOverflow="ellipsis" horzOverflow="overflow" wrap="square" lIns="0" tIns="0" rIns="0" bIns="0" anchor="ctr" anchorCtr="1"/>
          <a:lstStyle/>
          <a:p>
            <a:pPr rtl="0">
              <a:defRPr sz="1400"/>
            </a:pPr>
            <a:r>
              <a:rPr lang="en-IN" sz="1400" b="1" i="0" baseline="0">
                <a:effectLst/>
              </a:rPr>
              <a:t>State-wise Sales Dsitribution (₹ Sales Amount) </a:t>
            </a:r>
            <a:endParaRPr lang="en-IN" sz="1400">
              <a:effectLst/>
            </a:endParaRPr>
          </a:p>
        </cx:rich>
      </cx:tx>
    </cx:title>
    <cx:plotArea>
      <cx:plotAreaRegion>
        <cx:series layoutId="regionMap" uniqueId="{16FA6FA1-A348-43C2-A35C-26C48D30E767}">
          <cx:tx>
            <cx:txData>
              <cx:f>_xlchart.v5.2</cx:f>
              <cx:v>Sum of Sales Amount (₹)</cx:v>
            </cx:txData>
          </cx:tx>
          <cx:dataId val="0"/>
          <cx:layoutPr>
            <cx:geography cultureLanguage="en-US" cultureRegion="IN" attribution="Powered by Bing">
              <cx:geoCache provider="{E9337A44-BEBE-4D9F-B70C-5C5E7DAFC167}">
                <cx:binary>1HxZc9y4kvVfcfj5oxr7MjF9Iy5YrEW7JXnrF4Ys29zBDSRB/vovS16uVC0v0+N5sOyQQmKRBHGQ
meecRNV/3/n/uis/3HbPfFXa/r/u/J/PU+ea//rjj/4u/VDd9kdVdtfVff3RHd3V1R/1x4/Z3Yc/
3ne3U2aTPwjC7I+79LZzH/zzf/03XC35UJ/Wd7cuq+2L4UM3X33oh9L13zn25KFnt++rzK6y3nXZ
ncN/Pv+3fZ92t88uu9v3H/r0+bMP1mVuvpmbD38+f/Ta58/+OLzi3+7+rIQBuuE9nIv5keScY6WR
/vT1/FlZ2+TzYamPtOAMc80+HaVfbn1+W8HpPz+s+0Hdvn/ffeh7eLr7n38//9GjwOHL58/u6sG6
/UQmMKd/Pt/Z99nt82dZX4efDoT1/jl25/cP/sdjCP713wd/gKk4+MsDlA7n7UeH/g5S399WXybo
f48NEUeUM6o0oPMENpocKSI5AEefxuZHo/kGJJ9OO0Ti+rdCYvWhTLNfiIQ6EoxSjYRA91/4cZTI
I4w5k4rjT0iIL7f+FCU/HM3TSHw+7QCJ1elvhcTZ7ft0/j9IXIQecaowJC/1JCTqiCilBaWfITlI
XD8/rKexOTz/AKSz3ytxbW+7+dZCWv1VZYXoI6wV1ow/DhTIaAwRhthn0A4C5SfG8TQcX088wGF7
9VsFi8mAS/xCFPiRkBqyEqdPxYiCw0gLwTT5cs9P+eqHw3gahM+nHUBgfi8INkN+2926LxPyC6o4
ORKaCMG/ECz9OCTwEdcSccrJp9ohv9z6ExY/MZ6n0fh64gEem+PfKiTCNL11LuuT2+4X0l6CjwAS
xTQnT0YGOUIMA7lCB5Hxs6N5GpLHZx/gEt78ZrjcAhP/tahQdCSJBs6rnqZZ4kgqxKHmy0+hwh6H
Spj+zJC+Bc1/zj0EZvtbAXMMJaTYz8SXyfkFKYweCS4w0eqz0lCPUhjUES4YpkR81ikHuPzUiJ6G
5cGpB6gc/16onNx29tbdFr+QY2F2JDFihLEnc5gURxiqP9T+p+XhT43oaVQenHqAysm/f6tYOfnQ
3Za/EhJ0xJhWUkoIgYc2ijhiSBEIks+J7aCs/Hgc3wDi8/gPUfjdJCKkrNs+dd2vhEIfMSjuioJB
cv+FDxHBSGlKPvtaGoTKJ/HziXad3f7UmJ6G5dHJB9ic/V5563Kw+e27L3Pzvy8lUOIVI+AnEuC5
DyOEH0FwKKTR59p+oNd/PI6nofhy3gEKl+a3ylNXt/lt76Co/zogwFzkilFC1ecJP5Al9EhxhAk4
LJ/C5yA+fmpET0Py4NQDVK5+L2lyc1tl5bPz2/fDr4MF4yOEBUZIPeZYUkEFkYggfqAPf24QTyPx
8NwDKG7AT/+NnPebD+WtTX6phYXlEZhUgoP7/jhT6SOE9F46fi4dcPhh5fipoXwDj/88xSEcm98K
jpfOQU/tlzerIGdpQkGJQHw8UdMVAh0iwEj5IlMOashPj+ppdA5OP0Do5e/l+N4/zO0v1olQ3EEF
InBWxCeB/rfIgfxFQUZ+OnrIuX5yTN9B58sDHWJz8ltFz+sPvXtmPkA+K7+klv898YJ+ido3cpF8
TLyUPNKSCM0+q8RDUH5yME+D8ujkA1Be/14UbNOBpfLspnY/BuUXdpifLsEPuzSPXvE/bP4TAg1m
Aian+uwggCx9yMn1ERVUSET5p3R7QD0+t+K/PZqnF8Xn0x4N/P+4r/9tRL7ujViBOxPdb6p40Pb/
/tH7x4MNHwenfq+J9mmudu9h4wWCf2BBP4Bsf51HVOLf3WBvYXtJeVhKH1/gA2iDP59rCQoKmggg
eQn0oTkFwTtBJoEj0GJg+w0cHGOJlQQqb+vOpX8+hzYd41rAqwlBmsm9KOvr4f6QAM8PKQ6eH5H7
VUC+bnC5rMs5qe3Xyfn8+zM7VJd1Zl3/53OKYSk1n163Hyz4tpBfJNiEIDmI4hLD6Jq72yvYRQMv
x/+vTapmzkg67rosS/LtsPTFhez54FY0HtxsvB/KfAu7dJrByKZLncmUHdpVLVOyCxTLIzAou92S
Wi7OMCr8YEafwfee9tnbJWt0axLl5y4Kqi45Xmqh15Z3BEXdhGhyXnNeZduAzc1bUaLUrmqc2c4s
FifCFEnVqwgaNPJVPyVsjZ2ckFHNGKF5Ih0Mhb1rlrkoorhlojdBbV25siRRS7hMenqh8ZBnW193
4xISj2aybX3ebbpqGakJRjuqS0raMTasaaoqnDlOziyi7IWbfBOboh0lMzifGh62QdtnhqoKfUwz
VC9RmyjtVowF7MqmMSs3Oq6SNy0rybBRKp7vqAjcZZOX8ar3lR1ClTfTYGjHxts07/2OK171pmpE
9pYFot92MVNVONUIvfCT6FZTRcQOY2cNtYwJo3JLhKF4im+cIPMbPCXKGbuQ2BmC6mxLlBzykC5d
IQyb84pHTS/pGanwdDb5JTihVSk37cKy5Zxm1YCvSVdTbDo2t8ma6Ybq16Oz7W5u0x5HpUbtEC42
Ie1m9jioS1MmsDFq1/Y9RxdqPy9F1C601+u8lKm66dMZlcZ1XW5i0TRvSE+LqJ/H/WSlO1jfNnS2
mSK4DDuhmrVbVahqvsDe2ySsZDrii0SqZDSBdFOYT3m7wrFtDRuQv3IZ+pjP7RzZoiDh1JN4VwfD
GAZNTEzXYrKOh34OxzlezrWUqaloxs28MLfOCjxbk3DPM5OIia2oHuT1qP1uagLchDKI9XFQDlXE
8vi6z1VyTsvxNWloHhbCnnawPkKl+XtcVTs7drvJJ3YTlKja8F6T0Ns8i+ji7FlCqD0WsGyuKtoE
O+HHIswpg6lrW7WpWIWNrpvjQbSnaRKwEJphhVlidcYw6s8Uq7GxY9WelukkAVWWvmdjX24Us9Xr
zHF7PtKCb4eR5GGi69kEOh0MH/vkolCNjGg51FeyY/V5Z30fsoIv0QJ9ztz4FMUvk9JfF65pzeyK
ZDcP02JaKbvjRqTUZLqOV9LTwLA6f1fjnF63NS7WiU3GUCYkXou4ZBGzU2Ew09iMsQ4z7IazthRL
a+IUtVE+8+GmTJvLsek2o0fLZAaOi7DLU3cRp2Uf8mV2XcgzuuJVbmpONmPbhck8XjGES4NkcG1t
82EYsstiws7wGBdR6ZwLbd7LC+cgyhIVDKsUjpjWF/YNw7qBZERv2Ajrf64Cw6v4fYnTDR6svgyW
BX3o8gxWet2cNEIOBk/CGaSD2nSF/yitOxmqFIXtFADyDa3CoCqWwMQ4MUs5OJPEvNvEtAwMzZxc
L3Pdn+ZpII3tqzKsSO3DScrMlDNf3gQw7nWex0uUlqzdUJpPZyotCApVMF0XvL4WLs6PS17JUKNy
XJOpk5FinkUF9fZF12d9hGWZmEZUy/niioGt5srzbYpjaooxGIeVyAlFIWM2Wc1lG4wGxWR+leWu
NjONp3OtiyYShSwinXJ+59ruY9NSukKDao+9iOk6xZOOHGZZKIqxuuR6FiZxPTn2JS3e1Y21a8Tz
AB5+4vaSOZSsyhGpLawEyIQuQH3E51a9njRJ3jfFOGVALb/ugnyiOgkOyvBxdQKGAzu8gB3D7hSp
Kdj3D6tTXXdtmqco3SnSj24V46kSK9jkOV/0tqIvp9oxyHF1Vqwm2i6Vsd1ob2wbzFGXlvj9kLQ6
P53rCeOocHzZBkTEyHR79MNaYShTE5pkE6YyVm1EhqxCxiqc7vhQqenCs7LrTF0s06te0OJqlsjS
0hRajPykyRZ1tixDcZmqFFJU28S9QTmlLnTE9e8CSgJheCpeF/1ch6MtZmqkDDg3qIWrm1iK6UzH
Rb+bJjlvBsjvJ0sS+HWZlsQsdPRb7qU+1vM4GUWGxdCyTiDsY/dK50GzElOQm27QGYxxLLvQAQ8x
OOD5WnqoW07VytRsaUIx6WXeKtEFdWVGPI3lRmIiMuMVGrcdmnl1KlmmIt2JxKBhDD5AM2U+7nvC
dmVSt0vYMRRcFYVoIl87flHNPb3saZpct9McLbQr1lnWcIPtMuRmzHF9UemKh2oI1AV3gr+2QUNX
I1Vt6Mq2WafO9iZBs4salLo1TdR1ypUNe/6XzeeTUbvb2uHNkDa5IT1i503+bhy7Kx1gdVrjFIc8
WLqVyvP+KkWFDtMaJg74RmgH1EJemViwtWjIbnHLSVSVzJtBjscusFdkGrLzNK5SoxEVl2OWbiWL
+Q7KShEiJ8pXnWzq2PSctrtFDqI0c9OPUZPEgdFVZ9/ks+9XiDTv/JTysOuYNnzRdothbV60ssXX
WcLvZM38VZ1C5NFpGM57x/tkHai0D0K18HjZqQGz5NiOibbvy5k1b0om6sGoQmq20Wzk583SjASS
Muf+tV48Hla6Qs3tTETx1sUVW655HBAL45PtHAqdtG8xTdJz1Th6nqVWvJvyWJqiGQcaJZwG78a0
6LOwEuMUWuz4RgcoW8lUjiGpcnFNaeDuaEm0KYiuron1QxrJpFg2vFRjWLYDP5M+7c6GetBjGAOR
/ItXKrlCzLGzMod807YT1PlhSlaC+SwSIlA3bcGwYRkVt8BqCwnlxCd4O6G2PM6mNiCAJk6R6cug
uJpsO02hUg3NItQVGQqLsnJ5yIBw9BEku6ZdF943qwQyVmN8twxt2Mdzcl65RMN0khzKvlyWCNug
vZrrvHoNpYV9GGoxbIF6OQIpsmYhbdq8NkVOKgiEwW6bWS+Q/VSmfDQN2L4SPC/Oirmg5zWrxqsk
1/rN0FN8k1UsWLddnFwtQQGUh6LOXsMwihu8LIBum0FpWliJjoWaxpO0ZbwOuerlaVqUow073fJI
xHUfkY68nRubHacST7lBc5G/LV0m38zx9HFshgCFGI/jFiO7JnMGpWviOd8Uxez/6ujcpSb2Q5ua
3irYNo/S8Ro3JXsTeykaQHSMG5P0RGUmk+OyHVVF/1qKFq2gKAVvhcvyqwzH+rbpW3+DmbenOezd
LIy3pAdeYjHfshyNZcRQSRKD62JYZ3QRd4Ng+bYJBtdG1C/ER3woBqirdZZMIfNu/gupLjifUFNR
Y+OcakNsXJwELG/P2CCnFVrI+B5V3ZJBzPXqNbaocybXJKAndUESUBoEJW/IMM2xKRufVWETdJ0w
DorFW9V11TWfVLGb4piGLGmTUPUDC1Y9i60OuQYmZqZR98eQ9PphhebRl6s6bqvZcD+Rv5xs5mLr
2ZS+m/OaxGEVl+NZky/OtCSuOlMWsl9OFHBshJsiOZk9pJc1nZx8n6QOn8aZGI7TnHTFRlKyvHJd
SpoIO9xveeKDl7bn6aUTVr2rPXbXIwYJ5fdLEsRT4UtYBAkEYVXnGYR8C2sk7BIrTpexwbsM9s+C
/vHVlBjnkqo0irHk0nG93DiUBRdz7iHZS5QyyOJLGXx0A7O56SuiS9P3iJ8vOhMgF0o6nrWLHd4u
KaXvkqCf+zUs+fbD7JJih1sRF2Gdtckb67NEr4tUJrsB9MZHko3jKq2Sso0ql1m8ajPpozgYi9F0
edG+wlW+TGFgfRWVAVK1gSI6RbpQcwrsoPfFqkgXd9J3ub7IVayvYH7s+eQwsE7Rd2+rdsKRiqm1
qw7ISxP6rG3eVq52ramUG7owDjIe4WTyu44F04ZWkAFWObxtIg9zWcN6zBtfXzDWZBdDRpJtG9Be
mYkldNvZjPdhKcvRG5oXjoRpxmS9sp3Tr0qb4crwWr7EAZ7fgY6htcl9xphp7SxmWApZd97NfsZh
5rS/nLvpDXg112Pg2ptqbNssGrytL4YSofpyLHy6HRfCb8USSDg0l+48S4jftXwqosaT/s3Q0v6j
T5CqVsFUq+sa+ep6YXnyap5KqETFKNNd1VXpGC5SpSeJxbZYAxEOzpJaE74emsDu0iQPQpzR9GU3
CnI8W+q64yIrUb7RQzCC1O7UdG512l1I5UdTpu1yJbLKGy5Zv5NiVG9h84q/7oBu+RX2QbwDqSSS
Nfa03Fngm93atXO1WgZYnSEhcy0vWlzOEEDgnISLGucNaid6O8622w0tqs8RLryZtJwrwzo2adCT
DTCwtO/6xOg28JdBN1UmK/l0J2ni3idNGcxmyFXVrbJh3DNWyBO3IGdHM4CElyHhol2NNiBgQPBJ
Ai3K51fJlJfYwBTrzGjd5KClm3TqV9VYAP1tIbDnMBkXugqkanf5Mrgbxsscr1jsa6BmJbXJJgmm
2WDM2jMVML8pW0HNoAb/pqlpXFxUQSVgDXf7vNlkaKYryOf0pHXeVZdN0QELGEEJZxvfshn4hawX
U2pgRXOTkjqiWTPBYi71YprWJXdLt9CTXqkCRar1iwf2kBTJqupUd9LnZYsMneJ5Pp7KMUh20BLu
0ihm9fxXo4G2oSGvXvpWtx94MakdCrR9zXmRvtJ2HGYzEjRtJhTgXY2Z2wjhh91sUxUugR0+Fnia
QRFTludhVtnSh22vxtWM437tPA82UJLalS5m0HEIxFhFJMj8BMwUUyWS3zGZ9IMRuuE3i8ZlZAmI
yESLY5mNbD2XJY1sr5fr0c/ovAR3ZkWCojY67v0cZj6vr3qh47t6aYjJeNdel8jPULP7flgPtQtA
LzqaXS1gSq17n5avmQ7G87Jg/qZupN2BdOxzYLM1usjkpFbaNvFZXyJ+PELA38wOqH8XlPM2kT4L
58zbj7WS9oKTjt/AsgcmnLNjnPV053Hs3iRuZCeVwMuJXLDfppwOuyFJrakctRtStKaX/Bo4efdi
kr49yZOEnaYDrbeFyMRbBMi9i2mehKCB+HrMWLeKF1ycNoPNLns5h2BTMZP2VZWYiYDP0Mck+ahY
+jL2QbllvImqrqQb4HZTWIPOjGbKu1PXuLd6XOymLfppo1PdRWndFislNNDTRb3WkLDObNpMO95n
d1jKeO9WFBHt8sY4yoEPkOGYpHG2FYkrT2KVk5WzaRYm2Jd/5XSyZwtrS6MpSASoDv22LpjbujyX
q8CpfA3P069lxuiq1htdQ/H8vozD6G8qjinY6c5gnxXDGIu9ynvgMQaQfu0EiWRHxowA7dyzNEXr
5LyZLJtCDktoDqWQ2DQDbdbFPMjdVNHY/2ggFN7HcKAnpcCM771V+EHVfqQPRtINcesrLP1u7sQm
H3v3LtV0Wl40I9P9hVIWi8sCFZJG5VJNV+Ncg/4TKnc4mkeI75SNryZPOPhkM+mSdZVr8M9oyqv2
VvBFshXrA/66daS81DqGmRe0fKPaYAFbYm/IVdOI30nrrQ0JqMbXYH8Ea+8cvSbjFNx1aQzEe1DJ
S3D/B2nSNsneuIwyAymOnWmUgSmgRvRadQkslCz1L9pa5GoFTqyO5gUVJwz2c63oXFMgEjS5mOqu
Dp3q3JWU1XwSeE/PhjKBcmh5uaa+fENojV44khzLCauQ7E1Lubcvm3snc/QOMmQQFCSNwHLlV829
7ZncW6ASdnp9bO6NUcJa+V4qoS49L7qrJVnwa0FR25q2AJZvyj1h944PZJUkKttmQ+lf6pTCOi3v
2T2+Z/r6nvX7ewWQjcV8x20HuRON6iK/1wnY1XQbe6horm812dB7OQFukrjNlqw0vNBqF8TkZcLn
Ydf4LlkFMUx8sczcBLmupQn2mmW8ly9qr2SqvaYRe3Wj9jonTr1LI7VAfc7rWZscT6CI9tpI7VVS
mk7ZqmsqviFtBx7l3hENIZsE78p7keX3eivfKy+912Bkr8bmAOztFqUg0cDLAbnW6JQs14L3xVtO
yuaWywUNKzs76l+XooVJ4nXJz90C+nIzMQFeOBjpzZsuboR9H6RiyKKUD8lHR4e6hRb492wXcm/6
P2oKSNjuxTHhsA2PYUWgG/IwTAYr8pGmUE4y4FpnTeCT03rK2lXf0WJnK6R2reqqKYyHOo58V1+o
so5PU19ntQnE5I+FS1pw05YgWYEDYBtjq2K6AtVT2xUDn/RNV43NaJKMttdsakfTkJyBB5hNkZD+
oirji6mcemqqCY+nWFXOQUPBx3c2cHQtskbsRNoWL4jmHix9kR9Tga8bml5YEl/q0uPTJE4GcIDj
NUbJNcQ4PUfVcgbCTIciYGiEjId4YMCvG6Bkt0ps06zlo3ECCCrUDrQdG1leCpGjS1rjkUU148kN
lsJukjHXUeKHIDE1rSfw3uaiP4fk0l6qrvfrHpiMW3HwlicDeVWPEfdlcby0qGrDAXcCLEPR2Pdy
6Ns9YR6ASHJ3SfTYv1qSKV7VNB9DxpdypVs/VgaXMn6bQlfhredzZcOpqrt17Ip0k1VtUEDVZRJ6
Frlb53JOtlZxCDkmJgHP1wlv5iof31ex1lC+BhRvQAnbbOV7PeerlHSVNXIY9VagLn4Rjzp9V2EW
b5xMsiiObXDlwRkBpyBTxmd8PC5zNYUEZfgcrMUFViWQzjLX/qTQafCXtmUTweVciANlr4osVwR8
3qZ9ieYYIiChyoyTA88MOjnpWgwDlLSFj+tZtu7tSHB2E6Q9edXmld3GaEFpWI8tpCY/5S+W3iWr
rmL0hEOWCpmULqqh1xBNSSovZYrzlxb1BWTRVJPMKJiZ44wiVoKIEfHpXCxoI2SKIK51Tk+bqr7W
emrWYwkGhbivREvasxci6JKzafFlBfYOGmKTU+vUpS3igZpm30TC9/0k7PywhPF9nwntW04duLpL
mDT7TlTcl9CV0tmcF5Gw5B2+71pp6F+R+05WTzldD2SSr8r7TpclQcBNnU2gPjPI3nYF2a15m4C7
l20pEzg5X5oGo2hfx96zYfIdqG+iWiAC0G3L63EaTNN5+A7KgIqzbBq6XVcueTRNHO9a0jrg1S0D
cT3oBawmp/Mi3+ZK9DN0SoaWr7oM1yd0oMAn2ntP1+/t3YLjN61quDIuuSl09ibr9gFCcugMyey4
jZdl50ct1w2uh/2o+zWHRuuJT6FF1Ac13zbF3MM+4+8lKmiQPq7mEgOxgCTFkKCYsn1v80E1R+DM
F2CJyp1O+HmiL9qiO23GF/c3+dx6/uxCf+qZ3tXN3GWg3Q9+/dfZlw8buH+X+teX3Tea//PbTV3B
/8OX7G/09TVw4c833jeVH/3ytyb3N9rYnz654BsHH/W4H3Xyv+xYuW9RY2BgXyf6b+3tR/sHvr7+
QTcbS8o5LDd4G4OA7amfutlCwVtLocEN7wSCXjdB+z7353Y2lUewvQW27AkkNKXwoQVf29nw1iGB
IAMq6HHDRmOt/0ft7H074D91KyCYSQbvPN7vlXm4EPrYx3WRaUjheKX5RT/Chtavz/95CTxsk3/r
ugftB0ggo+hLLyPH0zI1yzLPr1Mi/KcPPfj0mQf/g8sf8OJcBsU8eSujtGu77moSC0puEr/UH78/
/Mes9z/TchAfulqgtBSxiMA/6IHk4kojk9KcY4MYqohhtHXx+vs3+9ZcHWwk6AH7fAL/KvI9VdTA
xoME2hKzUH99//qw9eFJjA+ou9QtanIwfKMBN+wM44lV1xPKkTidlbN+E8hFdKaa2+bq+zf8xgMp
WOkPF1WjUDPK/Q3HUkt/XKdDPISsH9Is+v4N9hd6YtXudxY/vIHKlgm5gfJoKno5HQto25GwKXqS
noLIz8kZBku1ANkOnpQE+4Lhdo1sOnbb79//QJ99XR9qP9UP8mcjq77g/cyjIUnGNgQeCEYm/tgU
tIUWb5tMwDyGWQZA/hLowQ6krpU1QaJIBe90+QcBpvYr98EIymSuRrCFYAoU4SHt6o+ST9kPnu9b
AB5khRoidVKz49E89/INqufaxOOQX/yzoR/khlLlmehpB8qCZtkHBJ9Vc2qDrBh+oFm/NfiD3FAH
ExAmYFfQ+ZbjKzy1zPh4kf8s86iDzNCVU940BHoQrobmeIR8MHYr0dS1/IfDP8gGBLo7ai5zyAY1
gz0pM5hT4K22EEqrfzb9B+mA5HNg674JNraepbiEjnnqXoFMCH6QO78x//Ig+nuFBjR5rjZLjato
TljQAfct+u4HE/SYw3yNPXkQ/Bo8mHIgc7ypA7VU66nDwArLacYZ+Owp+5EH863bHIQ4ZTVw8yaQ
G+cG4rZW1BZF0NYpfdRksMnpn4WaPIjjFvh5TH2lNg0plpuim0GISaFvvo/1tx7iIJCnwis8Ae3Y
kAD6iWXfSXqasLluXxdcFT9yib6F+P7vD3JRqpKmULJRm65k8y6oFnShE9yV5vsP8a3LHwZ0nM0I
JkdsBtkSDxsFPHsrlrqJ/tnlDyJ6GGUNm/2E2IwlIOD+P2df1mQ3ykT5ixQhAULSq+6iqrJd3rd+
UdhuN5LQgkBo4dfPuR0TEy4+u2uC1164FCITyDwL3hMXZqNMBc7ei2fb0vHojy6vmFklvsGR71Fp
4qN1gT/gxbMsonQudqx+kQzzeK+SdNwuusvc9kx14w/rf7u4/vp5M3JQk0Q7rwrTtJ+y3Jg3aHjN
xzPzv+303xzmNwDpr8MPxYq+rBVZNfRmrt9lA6pKn4BJKWJADpoiewvoJuX3QR+be1GdHRqaSKAk
VYqypb1bHN2LspHDFofFM/fieW+PmS9EZ5U0QrF7dBXXvOws08+dzbdl+d1yeSF9iE7Ew4b9NNeH
0udO0Cx7M0Ru5Q8CuAZ52QU5xi/9kNO/7Ci28ZmV+9Odh3tR3u+iRs9mQ97t8149NJGpgRR0KFy0
lxwVFAZE5dK59dQ2XA3AGTiRAcew0en9CmiIDVxgLxscNUeTSkZ1NWRAstF2y6o86+kzm9Er5P2/
04WTp7sxXRf0UslcVDR2erq4pF6XCxAnrr9TBc2O18IMEyq3bBvumMvH9HGnlIyvSJbn3ZdckjR9
Zip/CjsvceRjlyrUDlmlstrQE3fFT7Xv2/zMMfqn4b200WvU/Y69yyodqa0SSwKkJepL4u+gQEu9
pHEr1QFhJFgl1J5/TXGUPpo4GsJydurljBkFni6KsgLQGrxkUBjMB1faVh/mmV32hyi7cRR/TUqm
nY+U7DqvlmOryX3OUMr6vqsEEdeQJp7KsbVqKInjSvxQgzMk7LOkXv5Az6nHJkKPhef1gJLUTMxQ
HkBnBB4XqZc/HAOIxXKgJlGySi78WMXZ8Sk6h33222775SrA6yIeO/RrK2PFUrkx60quVfdMDvrD
nv0X9Pjr6EncRDuOhqojwLSQJenO9TGRwE3lhT5ePQA2tpOrCN6NZdwkn0fBnru1/mnqXjQnKFqz
vReuEtmxvLLHGOMuMKPoGrhvvHBuOrsoqg9XoWdToF0IDElNc1YFfVbmRTNVa6oWidGXmrDTRjMD
vEzShs2dedGcjwTgiAyfNVpIc5LUriWQbiwsjzIvlLs40vFWG1fNSdtfTQG8/Joyd/3vlbmFzW+O
Y+bF61injXMJIDZblP7Es1OuV7ZINVbLlvHAv8ALWbpm69jJGjAeBO67Ypm6S8ImGfYcZ17IglZA
2eb4VqFLw+8B1bfn7hgD0w2jTxNCsqAjlbvOVsL07EXbD9krtfeBU/ciFgd1LWVCl2qeujo56ZSY
U9bssjn/98f9Q9AyL2jTWhgZof15Acxwf5CLWF7auu4Dg8oLWdRHoxXdj+WqrdgMOm1x3r9Odc6b
sH1DvaiVSbvOYgXCcBfotEiVfj2KY3xm4/9hbagXtIC3S4a22nqZ+waNfGNJOReFDZy6F7RUdYzU
XQ7k8Bh91QT3u7HY67DP+i/W4ZdjRCqno8jw/zt1RmYCHggPnbofrWle27xJ1kuxoWhMbqOb8IW5
fY5f5x6vqu4NRt+7ojnZXAJpxEkXuOxetDYszSdINmB0Rn7OLeuvohWBlS3qRSsgmX3eCgxeODtU
PSBbeHnxPexucGui/Low+0Kzuj8kGsZLvQEtugLGpOol7IiiXqwOjSLjRGN7GYE4Krem/Wk7l4St
OvHi1Di9qKnZ7GWQDSs5S79GqyGBg3txGoN+Q48mWi7ZHI/g07XfDKiKgYN7YTqbYu9wE7aX7ga6
4h1gJFaTLHB072zNALQWbVRg6oVNXhm0R97UmejDWlTEi9PdMjKCOWMrl2iAHN2Y8xSwrig3YXuG
eKFK5r0YrBJrdbABxMyIqrRSG1l+BB1OxIvVpK3BQdwHnKxolj8UnUnORnbHJWx08jScLPAyVICR
Vi0F/SvpyFvD6Nuwof1INcBzHUe0VG0TPSI9fj1IFlgrJF6cFm07ZMmYLVW3NfnZNumHSdZT2AdN
vDgdpYl0kVtbRe0C8FWXvcwIgKhBq3LTaPk1f6EtvCmz59EFgNO/2yP5TNIBKhABvaLEi9K83QSo
TdFRYVizlI6YBvAWQ0VY6k28OF1FahvJ9FJBJSP+whbkgdK0Lgm7aSReoNq5J3FfT7YCdMedpz37
3rSgGIetjRekdd7O2dpqW6WHBnp9UJi6fK7zehvkN4+DG3jg129ajJy1KhqWCuT14lVuRPKqj2r1
OWzqXogScOU0IHTYjk3dlHTYvmR5G/hJvRh1bCq6upG20in43km+f+3n/E3YvL0YZRvbt5Zi7Kgz
H5g9XqXMvAoaOvYidAKjRSwAyl/iOopOUVe/bF0cWB+IvQhNEqUyF5HoAg1q0PgyMGmOPiy1xF6I
Rg3u6RoUoapvxreTmK7g2IVl8tiLTqa2g+4o4F8mB8biRl6wNOwEjb3AVAfoiRPYBBUfxMt82qtR
12Ft1tgLy7Zf9sZaTFoNH91qQVr5FLZDvJDsi04rJ/ERWSO/6714mzselqduSsu/RrudwWY5wI+t
DtMlH8DVJlVnqTmHTdyLSDrWN6p8sVQG0EAwwuRdURdfwsb2IlL2rYHARRxd0ha32yjm31hBww42
iHY8XRZs7HnuYxzJTQs8ZWpANIMsxRoUOJAqfTp6btZsYekaXWb+Xk/nHFXskDVhhReRjQCtbG6O
BexigDk2alQJyteHsMG9mNzQ7zqOsQZXvVF3W4/e/ky7JWinQNbt6ZJoa2MZ9Rg879M31KofLTt0
4Kp4cQl7hCOe88Jc9EDfpBh7t2vo2F5oJlubUQq+X+XAz38JKH/3MLOdB66KF51Apq6QGLDYKKnj
pYu7jz1vgi5YEHB4uuJ7YdkGavtS7fQA3TZmNZ/OBDegNii1sMILULUNYGJ1iCHB1LdoWz+j+fAx
aCv6YK2VgoHLKdbFWpGeZytvUi0kC7pHoCD0dGV0s2aoR++Y+L6/sVP8sK/AV4fN3IvQbshiljXU
VLmkr3oADi+g3pOwFffxVVZoYC7BsKti1b9lUX/qdBN0SWG5H59pNB6CDqYioBEAkJ7oU8K6f8IW
xQvQAx0FA9C/AZqBfxVmf2jBzQob2ovPXS+1zEmkqyPptxLo4fk6Dl0YDIP5wKop3cZiBVaoQgvJ
nUc3PWYU0OqwqXsBahU42RDt0NUErA1YvlZHL6I1Pt6FDe+F5xZRZEVm8UXX42+DG9xu8u9BQ/to
qgUHT6P4ZCrJxbtdqft4GML2oQ+kWutc8q5nunLr3FzWTZBz1I8/wubtBWfrWG30Lg2Ieeok2fE4
5M9dO29x8r+vKuZDprYI9WAwTHTVDGtqS53x7tXMFZi0HbHHKWz+XpCmEkwzOUG6pm/pX33DPkdK
fggb2gvRHYjHnme1Rvyv5m41OilBkglr1bHMi1JBmrTVlGDiLPk8rNFYskh9Cps5eZrNm30GkTdu
TJWSlm0QL7EHg+pL38iwQzrz4pQ1QuQ277El9+htO5AP7Rz2FmeZF6N9m4JbuGDo+ijeQgjgdU15
UBuK+QCpPj/qYV4PXdF6IFWUk+UtqPdtENKX+fgokoFluoIHXIHQA6qJhiwSC0SnMR8PNex1tOym
0dW4qriM1+w6byKsOgzWw9PtsmhmLSuw5EiPL0D7fNGne1gMcS88i030tpuFrrJagILljheFbsP6
ZiDfPp13gV0S70SCqDStb2gyv9TxEjhvLzp1i+4ExIfmyvD8c5vot72cgx5xzEcu1TsbpFCgV3Gs
DNQDxFZCjiAPy4fci8yFdnPUTcWMvk0znzSRb21UfAxKK9wLzTjGO2tM47kCqxHCZhsKFRcbRzxs
YXwoUge6mlshf1fR4higq8T5u76NXdgX9aFIa5fyGli7uXKFJqfEsEecpGHdc+bDkEAAzad0n7Bd
poLFErkWdMkG3LxVBtVw0OF/uteBBY4LAdZwJQR0804jimdVXTNoBQZ9Wx9udEhrQXitVZVHRs6n
dVPDP7bItsBHY+rFajJA6W8rIlXp5oCgheBdiRVKr2Gz98I1y/abzlesKttzcoqhvXKCu2lgfky9
43TpgcAzdFSVgWTEUiaOyG9QJxpFGTZ7L2b3VnO97VibqYFaU7tAEqNPws681IvZnkzbEGUW6z7m
6u4wsblu/dTcBc3cxxutdKWH6jdVdXXqPsdTLe5gVqpk2ML4gCOKPJmSA5+1GOsZCg42h05AWk98
DvwB7/aLZpycRrVi5anZ7rXOPzZzH1abh37p05DN5ECAMdaqytgCtTTzdpPL+7B1945VUR8b7Xsx
V9lY/DVC/a9sGHsOW3sLyd/c232gEVRmMohPDqqCAEf+F3R99zsrhzVwy3ihusTRfjiaThUitSg5
oC9ldERZWBrzCbP6iNCj7zF6uh5QDU3UgxyfQzH9ewX93cJ4cTq3O+B1OZmqlUsBRd1h7JBssnaX
JzEUQt5BaXh7bwfT31NDI14tTTOnH0Bxy+Y3qP8Z/b7IBn4n0Zec7jo5QvI261sU48U+5/EGPbVu
1h+3mUT2FB/zKL9NTRPNJ46LJTknKWrtl0zZ3Z77BFWyE0eXeodEUZR3FYFmHbuvp247TkmMasKX
CMje45pQaIqeabZjzK1vF3eFZGRzEwsizl4HQnZ3NutAx7+gqMjqNwvjUffdJOk8V7kDYb/SO/7e
s1pceoFQWpqfxoxA75QfmbB3IplE8ZLnI3hhMTRp3pO82CDcw/W9ao12VTwV+XHdhn5l51UzkV7W
DMqFl7RvVggi9OCn4z5bFMcp1y3NymFqdfJig6Bacd/TZGGVw2pDQ4XK9R5SRQN0X9cYMiTxurqy
q3Xt3vdJN2VhtxDmJcxhZ5ZLiOJUPG0mVH2ikghIuwXFrY/0oqw+cJHsVdXw4WfNJNR42rB5+ziv
FZ2YvYfSSZXaujJF/1CDDh82ay9LpiuQKZBCUxUEgPayjgrIMfTJFLgmXprUsaBcomlXCdJBxFfO
//BOh136qJcnO9Bb1zGLp8oeVj2CDdbeTXQZwlKZr93a8Da2EKw2ldCSvWS4vwL5b5evYavuJUo9
iHWFhMhUyVzYTzqfHYr5I7T6woYnT0+neYTK7+SKqSpQVC5T0r1snAhjmjEf5BUjhOG1qabqmFQ9
nKd466p9jtvAV44P80qgbgfRMuxILoZ0vxAzQjsWwrNyPgetjg/1WqDcV0fNMkGWuv9nU+whjUwY
o4P52jPKbnqdj2yqoNEBHNliMkgl0qIj/4TN3QvXNYVg+WqJgvQb5LXKbJopeuw5IWFYDEa8iN3U
2ENhT+CCAM1RaM5u3aVt28ALgo/3UtlWd07gCEePRp+AKONQxdziKmxxvHfIFoMqnbbjBFZt3z9w
uqZLyWfNw/D9zEd7mW4UADJNSMOjzR6akcZ/4U17hJWCiRe02T5AA9rgvopS1n5fs9pWWbxkgZve
u98QSKsX7e106tpBnMw2i9IuwxCWcHzIV6IhRr3jnVxFEHX82QBt/tMNdghDfkIP/Wk+S6FK3zWd
VFXKszW6l8WYnOIaojDP9A7/wKuDaNTTHwC3ta6hoTVWrk+o/qBku06nOhuJOm9mij6AcPYYRUXf
nXGLg1yzKPAYvTZQw57Cvr6PDwMpmEMwEffPDfYFOQTcOwhQDM2o+mtQcPgAMR5ThzfLLTPVS1K/
GOCXkVXwI1jiU9gPeOcxJMA06LVkhGJ80kKDd+s2VnaSrYEXrMQLb24cxKsJfuCwBLBlZz8Dvf8j
bPLegdwvw7EUFkKGSo/mtAv6j4NabVh0/Oti8gteXMwuMUZmQ4W77bUn8oEQE1YC+JdC+cvQQxTF
YoOCSLXAaOEkI4ZWw+behS2Kd11eml4LyK2PVW11frENJGuHtA08Kn2c2Ja10zjii1at3qPvQ7fR
HzrCcRM0dx8oZjo2TmxMhgp3rUeIR7/oZ/GMlsttv/3mqejjxMSOPiPX01iZnTQPSa9zSMFNW9gh
5kPFNuh15qukQ0VlPkEjOIfhQZPZsQkLUx8wxop9onyE9UeWjt1pLvI7yZIjbKf7kDGtRiHqoh0h
/95sLw2Uzk7Z0q1v//ub3jLJ7xbeC9Jik/ASSHC+95AExZU/NqK49HEyTReOV90YdsfyMWT5weuc
UzFVsaWLKpt06W6hFRdT2Fkce2fxELVmXosWezMl7+0SvxNJHbjtvZCFksWSxxpzR3UtPbcapXwH
LfigzwvvpafH5IjNGEmgAmHvoet36xGp92OThrGZoKr1dPQeKt02JrCLQQ7O36qBptXSpnnQolMf
S6ZQXYhrKAmjGY6qxDTnbyMm2sCF8W7N9ljGwx5tD4QAJJwgk6nmr64vpjVwfO9shSBNXatF95XT
2XfUjl7BbejzfwfV77MZbIuerjpbY3SrwRAEaXWqu3I2dv0JO5Iw6Q1aeDHb4vkGf6nbsqu8RsHR
5PcDT23QdqfQX3sC95xIZ3enMflaNCg7JUTBfmIPO6GoDykruMuO1KD+Bg3V5DiPLfAIp24cuzWo
+ALVi6fTz9etVrjZ9lXS8OOcizh+M4HP9y7oy/qosoNDiTGC7OxZJGKfHjoooD8SolL7zOz/rbT8
bz6mPrAM1jdk59xi63CbDhBaT0Z718p11lc8xCy5QkuPm/Oc9vv0MjrwKnipsm4evhLIIV4tJ+4+
YxGUbQsHXUoUHSMJDfMx3clpmOejPTnR1O77VB+tvULdHVrANu12yNky9mJV3fJwtM16hdXbhiGg
gdGU8dAy96FJwG95K286FR/GNlfmjAcbc/i30LxtYiA/HzvVRO6M/9q0ryipp/VH2KJ7D3TgGmc4
RaTNRdRJ97gWsnhJIO4fdsBSHxI3RfBfQnVUVvCD+8nJDI848SZs5l6OwVsT1lN8kxV1wNn28M4h
k3lOSOOWCH+3VbwsY200CAdThWpW0Oq418b127k4gHo4b3ghiHte8L75GvaXeDknmQtYBq6prCIV
8QuTW391qhcfw0b3ck5z1BZvRCqrdWIN5Jnd56Ujz63TbbF/t07e1QBqv62V2sqK97Z9D1Q1e503
Yv+2d0n0TGXzTz/hJZ24LuCGpmYIm+5U8nMDb625LVeNYvt9u4HR9syj+g+f3EfNAZ4g7Mp7cRHt
IuXVpnsCdFjUX9rB5eQERHdYVYn6IDpI5+5DrXssGiRoAXTjcGOxgQdY5gV0BMERFAJGWSVoxy10
uy40eSZB/+FL+CC6DJYNuQMH9yzFnC33ELdPr1NeoO/PxQr3naD9mt1+/ZcnYoqxedtmEWQ6ICQI
rrv4UsxZGLWVZl5gm6OY2/bQXZVl6XIF5jqHk14S9lihPpBubVGKpBZOeC3L2VWtsPbIizboHUfh
RfpkYWKukh4WK/U5WduHGNZ0bOKBa+6F8UHj3kwLhnaOXepivg4tCXofUh9Dd0B1rTWFrM+yJS+y
NHox87AqHvUxdIAV3oRw2/qsoFb/0BmzVFFK3wdtQx9CV6fwxzxohM2eCHNRSrPyKHp2DRvdi9K4
kLpO46itstYomPbsn2dxhInDUh9DJ3gmohX2elV/kP5qi2W8gylAGBSV+jC6COakKRt0W7UdDENV
k7+MMm0uYevihefewQTV0Kk4LwNr9ysh20elpQwrKsLX+WkINVOxzD0bi/O4zo+yn6pOT2GHuA+l
O5p9F4PARapfbFuOdoR9T58+k3lvf/5vjlkfSQcjscWB4YcgMutUAjV2gndQYEr0oXQwvDxg96ha
sJaG4zQKNcEtRo9w1Qn6pj6WrhgOcC5kWoBoNcEoJu9r/WLa4aN0Chvfe4dbPtZjNtPiPGwOPdu3
QAE8M/N/S7W/WXcfS8e4SyBOJeBsekR0fRG3QwqCkYBw6AcoJU1VC4cw2EzOKzwvOKpr22leZLpC
jlPx4zrbAh6tTiWCfBuylKxVndM2C6rAUx+Ft0dzAt2N5fZc0ouAh1mcW9hASTOew9bVO4jHtl04
3Dmz864bjgR1dHaE9wZP6I+wH/CCXcOdw8H6yV7s1MCvJ2fbWRUsqNIMaf+noY4rW3qzlrWX5Kb7
taVwAxlYFoSvhij+08FVtjJTLxh8tdBu7g2by6knYRg/mnqnMWss2PB2tBfSwS2ZygQGz2P/PWzR
vev0JPM8jmm9XFbSDGUOC4TzvLM47FzzQXgCWNOYRRQuEUDWwMtVi8c+o8unoLn7GDy2KUUTPi8X
eHPd7JaduLRHGrYwvuZXq7dkQiN2uUCjkrwZh11+57HLwq5BPgDPpc02L3Y1l3GEHwmUq6EIw+Bd
E7YwXqj2xUIdzVNzabNdX9N6gb54JMN67NQH4dGNUNfLxVzoNjRAXC0fQK/eA6fuxandZkhmZQes
RrPElbCD0qdMBt5VfAheKi2P6IxVdwPkWrbl+CeGVXHgzL0wjZwa5rqnFk6vrT4XW9OckI/DmvfU
x3450CDqdsXFKlPkuxno+6EhYfRq6kO/mgEl5Ukxe2ljHZe7IjWMZwCj++/NeNt0vzk0ffRXn8iZ
yInmNwPzdH3T2KEdrgcnvb4yrXAK/vfP/OFORL0rdL3SGh61+CNSkkfnlaTiBPvcMCQY9fW+VFNn
y8IxuhDw7skBAzvBAP7vsKl74So7pAPgGfVF7Qr2fcPcnc1Qhx18PhKsUCxehjTVl1Xa9To0sAOC
gLELO/moF67HgOeG05u+LI3rr4mRH10Ch9ywdSFPj1XXwGJ5Qq3nomD+dRr6vTsBkhoG+0dX/+no
Y3ZkC1yM1CUaIn3qnBphaXmEKTeBAf109JrBvTzp4E3ZLnNzcimM6nPI5IfdxXwMmE0OlJy1yGF0
P7oPLlb7py5+1jvwD6Hko8Bqum2JBVj5kuoEfJTbhUOR5Lka4Z9G9wIVJoUoVx9FcWWwWyrW6MfU
jx+CNoyP/pIJSWr4Z2RX6HzVfbk6oBOXZjdfwob34jTp4TfmYl1cUzWMAOB2O29e8qQf87BY9eW+
lMktbvGquBYmuZkxP8DhNuwm5oO/IMQ1LwfB0APD8XfDQ4xhgETqI79gBtHWTTYXV3eTPpJbwk6s
ybewY5V4YdrFfbO4Y2JnqHDdjVq9iXmYmiD1YV9xClARHQZ25oA/dGP0ko3t26Ct8j+QL8gINZqO
8GXldkgqpnrwrpttsB/DxvceuaNK5q63U3ZlU7JDQp0Z9nCj6j2nJ3gLxt8c2j6eq42kYvlW8+ug
InO31Os6PJosFuICnmpW34vBbc2rxdX/H4/rf5+qv/tR/jRnZgepx7Wbezxb923cT0nf9jD1lhJR
11+bepd9OU8D7GrgsDbjbN+7Q4/Z/dQr3gxwPxOdHMreyfW4b+ojqr9RugF2N8aAtEo4UR9ugydg
rNX8UvIkV69WU28Jv98jls2y1K4XUVvGtGipKDU8ynERmjg+XZnCPVF8U7oZbFIymbXDPXUScs/n
Aw/6TJyPed30SR60299DQm5bW7hhwuIHMt+wxzVjmRQ24qwsDkjDyzt4msMIrxxQs1wGmM5puKlB
ATWbxo+KDHjIdFmX/zOoAf9Y25mtZw64L9ySsULytK4baSt32B2uSzKmZvw2oWibweJcw/htK9Oc
i+br2DJZ/BiEhdEPiJxu0kMJta/u+HID6d0pNxx7OUI0ypy2rTWJPGcgTtYXh5YNuUSk3s2pzrHT
itPKtyMdzmR1afwiyVdeXNvUugG8sHk67uASMMJEVq38VRfbNj/D1HijpybjM25h+ZCf8wECuOU+
Cz6PwG92UyPOS4H3fnZChWQXE2Y2jzorc8Iz8EbWtoKtIq6NyCV8sA/4WlPTljrHza4skqgfznYY
yV/zMvDzdrg9+2Fbd9Cr0lMqH50mOf/UzCTLHulSUxiy1k1uxbl34Kiwa7HZBIoIjme2fwWGRo7v
pdpWYXIidoWw1xiqxriNDfHk5N3B6b59n/OhnQT8EFEMvs/AQCo+JHu2m+PUjwxOYiKPbjKQve3H
LQKLxQG0BQUduDvay4FvOU33JEUhjdxzOeawHeeyuHLZjKeJ77AdRDXliMx6u1mu5kVsjbxsGjnq
kU/Cdh/2nYgxx3aYiL12NDX7aRINI1CJbY7+jHdNk3/NYag8vSh2h4dfk8Z21+Wm4OoOC2KYPRPc
oOB3S+mpSCnt3iYy1/wKgRW5vxjJlqCqHS/QVnNoMy+rAHcrPgxfgOTkEFmLe/ud9BE4M3rNmHqf
pUOSn5vapN13vH1y2OMCMjWtZ9Olk3mUNhb8A+BZ83Dtjgw0oWKKp/TBpRGRL5Nmk+7vduwnC8aM
jib2OCNom8uomoPcK9jNz5+baMhjgvQmBU/LbGCFeoyXRSbfWVfX+VHWAtbQ1bata/oQ65ZNX7qN
H+kJmvcx2Ohio0kBaeeU9z/qZYP9dylnmX9PKZ/VZ7DLXXNCdwlnF3ge0/EKqD6T43+eIvZj6vTq
7geijuMDjCuT5KQaRNKPjmGb3wlJ3ONSxOIakznvXufaZvwS561q3s2y2d2bDQQPEqETDd2A/HxT
Iub3ZlvG8R+Jzk3zouMzPapp6vq6mkmR6Bd2LjJy6hjMFr/mHPawfyebrB9BIY8e0EZyP0BtGcpu
S8VZQCAoOu+ty7cHeEis7g7iQfRLX7SsOKseTMe32dH042Mi6ja536bWHpdobrr9rjh0zKuM7zL+
HPNa1u+auRDqpI4lgiZiFxcGJJqBw8hvdSbVr0zslvieKq76jzDuqKfXNi2y5ho3csrOy96tyJ1b
muvmCvx0ol/Nxcp/9NAEGE81Sobb62aPNVJJM+2wmE2nBb7AMbpV6wvZQeD4CrNYBXpNlK3iQ5Ob
gt0PSileLnWk+femKTp1EqORS1fCJLqOYXTE6H5v+sEs52UjcXRezEiScuzdpr7SpcAMzmksEsgZ
7phFGwmjy26PzHgZb5I8JQTtnHycNxDTLqnS218kPmDYGuF5B11OWEHwV7guiZ81Qjg7dX1DhhMf
tnT6fMzwZ4TA0TBA8qyk0rn2flvAkv1wwJ9O17CNXrId+d6pbZrKbsExvZWoeK/mx2ZXmn6CBYfG
gSChVlO86zHK7UOqxeoLTBzR6byMGxnSEtzPMa36IinkZV0F7Y9SJEvuXmy7Eaha7LCxKu7i+sAd
EUy2prk3cFmLSqfbNoK9sdTk3DBuo7OJ16Q4Z4dz3ScdO9rdrYvbisoOU1Sf543Ux0sKs5w3cWK6
9j0qR+SQZdv3S3GFarxYHgqJF8zjgZJYfmWyxXm31HU6A+fNmv3lIOJOniank+XElM4i8Ba0qdsN
7DlnkndLLAeQMUa2LG/aPc4ITNDF3D1OULpr53I9GAx0oCtezpsukvuEFmZ5nZo5Gr+Rds/7l7yn
BntsbIa++Zv2ucNOGCDZZi4T7KzhXevc3l3SQTLzkcu1qR+MaDt6DxIt719ZTWDwdUE66vkZvky0
/ukglQxNc9N06Z2ZWiGAbQYDC3skh47SQ9Mth7pT3UCBGSbAEMcXo+B6WK7LMZL3+M3805o0y/5X
D9F4cNIL0kzsNEN+UZwi5Kf6tNdqf98RvtC7vFDguqTjCLDqsOo8Oh3KLrCU09O2g0CyZskJDYW8
eYPppunrfTtEexeNhKFz1NYysh+GwU3jA6C7jcOtaHT7D5waZpTQSI3j5O2tU0PjE23mzL1yccEG
g0zsjvo+7/DpITTL4W72ckNCnl/D/cLo+3hpiuUO/uJFeju59waaAALLaEy5FIjyGHp1wllxmtvt
ON7SYu+LEq5pOb9mbEB+KyXdOv06XpJ8/ua0Uawr+2Xd0/uD0Xh/ZNj9zZfO7LCgwR9Jp/q1RDls
e5dLLOLD/6Huy5rrNtIs/0qFnxueRAK5TbTrAcDdeC93ihT1ghBFCjuQQCaQAH79nKtyVZfYtjTt
mJcJO8JBk3cBkPnlt5xlpeUwJ20wMrvH+e/pDDeXNtPGrUK4DMmT7VY8zCGbtpOrvOaD8Bfb3Ey4
Z9NFXwIWel1OBRzMwzLvzMdZC8qeGyoW2URQCCOtxp0K6uy1hWYquYFqfag+d1BeqT71dV9R1FcQ
RAzipqSl2DfCmgX5W04k76LeGxcchfWM4wPZHiRjuccmkRiINHQLMHrCe4Gq/BLGBId6eYB3b/Ug
RqzvTUVczeNiXtFzbUQbPsFi3MBdcZFpGaMWDQUcETsx7mgtGJ+iYIYt9ZXO+xyUYx/ynVutyrq7
DBrtvDriYGB9LrvezrD0LcLp2m/JAP1dzFnVQyhbl8M8GU45Nz3Ng4/SwOUlMWGKVoAsPMuvllan
YkuG0tFrzJ+C9q6uhFmPftn2HQJmiL0BWDyAanJXQUR1uEybWuk5lmGY3SxAvnjxzItmujMrrML7
CLxX6mLIGKZVLJRf6OvKoMcU5U1W95tgAa+23oKi5m9kGrRtMpCU4kkUee1fhqM+O7lyc05+JKCV
eRYrOTGaNGNP/DGq1nl5KmUN1aRobcBafNAgtwWPmeHdaWhHZFxxnpVe7JdQhVtiRPcpEo4H9omO
kD3YZ9xpnPdiJkjTAxB4tY2WIPTsocBXILdj11oRU8b7pFrysd1VM7b6MyODm7ZUVLUPZxKYiF/4
YRHIJKgBD4b3ub9uFQ4jZ6OBpSXMxgGdUi1sxBtRnyqTLtdyORugrsMaHI2UFdlIONjMOEaRciTD
GiLsu3ryskPFW2Yfxjr1p7t2GP0YM5Keflrq1E1x6vJwj3QNrpkVWDQdOu3RMJf5PrcawhoheNU4
bIN4Xa3SUQczJJ7YgdB9hnzgyTUiOGaQUmoirsrexLlPeQbNVg0H8C4s+YV02fIagv1TXlJsnWa3
lmZVl71HhxviIPGKEiiwp4xLuiJ38sPhZvI0YLt2FjEHjfwS8xyQtWFeGkCNHDTky2WQ9EPnvGxT
0ZJXUdPM9jhVtbrOHBT0kwrLOGbzCMvyHK7WYRiq08iz5SLz5/rTAjP3exXUQ1wQfluzofnAStWq
KCPaAHYy1lXVRzMplDNRhmx32S6wqlv2fKLZI/dnfWHLRaoEy5nHzTqu87YdSnaxAL4YfnCeFPdZ
7YBaSKhthbdPGzG5OkqxciVo8ktOXgubLvYDY5wv0VQ0swSU05/ckhRnPYBDvcwrZFPk4C8azrp9
b+BsPhdBVyYZn3zvYvJDsLFBK3XkYsj9VF0ZbzZ2O4HnTx5XXlMeqyWc7HEMNcs+IXNt+g2z1KN7
XegiPJXzVMPsNWunOnK+HuRjMNaaXPdwAtcbyDQsLSQJDM8PnTep+tnL4SVcxmwpWJEQU+YwFGcF
UlFlR1HEQ40cxUVp4AVBDQ/6ZSy+zJIF/Wmau2l9gSmVQzqUW8mwumvsLaajEoShcgMVnZTuBlkX
5e3so/bfdG0YNFsrEHcSVDSZOPRn+N2mFw0NrkGqKdkR+NnAT3w1M3XwQZuavxYAYzfXo7FSk3hR
2ZRfmN4EhEcQFJEYj64lrZdblMaCogoGZHM9GlMbxIW8Fc6/1A225H2FYtU9V6xSh7DDiCwwjRPP
vgkq71ODASvK5LljcFxEEzqPsTqQLEXpOCG6m2Gck6nJBvnEwem3j9Ihtn80ple0TJjoPZxXacu8
6Z67tZyzyKNUBJG16dDEKg1qemVWOS9fQ9D969ehAJttI0vYFt4tdT4rCA6wbriBxzOr5k07Qd11
pwqPdjccuwwRkQRDLxGe8lmgWZi3oDXvy4Dkbh9UeUWaJFwHpABRzTnPIAPfof5Axlf28TLpcy4C
Gxfrbks7DJnbqSqrhscabu7Ttis9qw7GqJHhia3KDUlP63n6VCkGLhLPK2U+WVf101ZnpPFiVY3+
seizlMc9BuH2tJRlmOGRiAJkQIMuezzoqUdS2nPIyTyOK1RyQZDu01OX0X7n0lne9QFdLLIDtq76
eqnrOhrgDRqBFJaNAfzFZNltFyfZEmewUx0Pa2BQoOVqFJGxrvN0ZEfrzK3wnci/TrA2kZu1IiRP
uDufq1Fm4DGxT5FmnwpIc2HVBX4TXKQl/FmPOlu6JyVxE5LA2tCvI1IA8vBo6rX0kKUuxNvNK9b1
DnmALy4sjoDys3NBsUMJ4KvnDhLnIo+ZykhxpyeW55CE9htejBEWGQtiiai6oJrzQJxbRe4XV7J0
ZI0HbPgPlc+aTZ0WvMVWS8eLjqCDcYl+RcBuZDvz6sJNg3pBJ+YjUg9LOSxVOCDgHTxi6F1Ls/QT
9CzKIskaBMWiHKpLawkysxUCI+5QC5nHel1gOAJaB9kXYgjqy94Gpr4c0tEcR6278jMMou2b11fG
JPPo4TGGs3isxvA83KkkzvY5dI8cuYRNsrVHrg5ck52j2olmC7Ky4lGpXYbcAKPKCWZ3cka/FpHQ
oL9jyysHlgkcGOW50wPi9/BYIRmLKAMC/YBWujKnoJe9dxMIgPgAChJtNh0mnmW2xkMZF2LA6E7L
YjOTQJZiU0pe3GY9vOE3Ptgr/dd5otUUezk6V5+g1QA33IFJE27anC4US7Og90OBemS3tKWJaIkA
qqNpHOBil9Ex/yJZY+hj4MZ8ipfG+Kh2RFhPc1ROsvaei8JPX+Q5NdnLGSzzDwvXb7aqbYh0V/U+
ktkmrMa9gieIjBUfmreOYctGEpYdMWxBSLipVSi/Nf+qYMVNWOQG+pZpiFIGpurbmQonPurMU+Af
FypFZ9BTDZSRjIZEQYKkpHEXjHfdl7qeAx9xLszL9hFKbaqM6ZC7YF/acHlF6Zytx6Gm6VuT16ti
8P9eJnpqchf2H7yUcPbmwzKDvaK0zNEZKTN2Ut1QIXaQfIlp5vfuZlCp0OB1YLYUZjwjN4XHObrZ
SD3IkTkIim7VNHCazHYlwWbik5miuhnne2gi++GTHtR063mheZKp8D8A+2HXXZeCBLT3OhTGc93M
04aHEoK+aznpJ9zz6tj6FWBtvIQBNzROwu7Q5Ur1MdNt4yLtpdVHMHXnqGcgb2kdOn4cZu3dCO7m
S67WXG67FNILm5ot866HrcTO1zU5hPBkRsxrA/OYq4wt1zrrwB6eJuj9RKwfU3vvRki8foKACIoz
s7gw/4jWcCAiPi24D9SVJcKCCvygQ8YhwD+WxH7IZ44kMUArIcuQZZTMgzysWL1kAAyebZjM0Ddx
sFeHT4kY1mJHNdGPkF8vqzsqO5DAZzgw3BX4IlFQTL4eY4TtxbpoQG8suNZVLsI40Pg6H7oudd22
7NMyj2kotHs5Y10PXVs3zXEWYq3xGZVn7io/dPV1kAmHhG0pgq2U2uv2gFAKd4tWdLtBmGjb7cBY
aRKaT7UPuByMYTedIwgi0Me4wLNAOyLVrNMotx1Ay9Oy2Dvj5eUUt2z06wvPm5p1B/mx9dVjsE2K
alhDHrO1m7F9UonbUTmyqVQ4xn1v3UXQ+Ug486I9Ljpnd0Av92AIQN8RfQ4INQShSD96K+DkWwmG
zPIBfaZ5wkFkiP9q5ZBRAQ+cakV7wNSjbg8tJhTFp3ztTRPjSYHwLqscmTkiZj01cd6nGvrlEC9S
l5BIkyJWjuvxMHdhL3cCHuCwRk0nLovIY5A93DoVnDehV05ZBnfFHhUTgk+VlKtR7mBBylAR7WZb
Yxtj3vU24uxMD3qwJEsmKGoTIDEbGvqPXYgMLZmcGvJYhBMH18fypXosOGRqEgK9+eJjjYZGGDXt
mOcfyLwiemSex/0LLvyGxY2iNU06dMOmuGsntLYikKDmLClBLiTXoe4HeQtDkGKKFqhA6824pKyL
FrqGyGCU9u0Xb4CrQsRA9VC38LKZxC5ftBNfOC7KPRkkqPzEjF+LOKxFRW/qzBGIJmsUBXlhmuZu
AYG/2tLSkGaJGMj2ExqYebtmKNQtWg5Y1DOSQni0pz2MtZVJL/OOFOvBD8ncXiqNPm3EdeCgl67z
4Y2woMiv6Jq2wCWlpGr3o5w8egPepODYU0OwOsx/2kVv4d/ohi2QbrqJMVVh40vrGuPBIHG18uDV
aKd8JHVzfkIchU/iD0qXIKOiAGuuRvQPqxj8CmvGCFosPj0SThmKS2a9dl8AZzG9OLook6Scp3bn
EK9dMjCtq00dBLJPKBxpbBX1Q7PkW1SDtTqmIeTXAL6sz/ZgcEvrkjIv1HyRWiJkDJ5IplgCJQaC
DVWkDebZGIV22QWf5mBFzmJ1uEeToMO0vkduF6EP61cRCKNrmfRYBvU2nEe/fxMFq2oPtYMf2gB+
txAx+aqrpgafq8KEzOIwbZAnhrFXD2rHqabLfKh8GchHaEY39uRQ2s8aF16EZYgcZA66ayaKen7y
cDXKi3LfBt24PatZoyCd5DqFV+O5gj6mXlfNSL6Al4XA1JJm2fXS+AbFyjAGHBs8rNCzEjFmLQzV
KjGNar8UC6prYPsW0ZC3wU5ej2RAMBRMnQW3cYJbTTdcGNWN8poheGRIFWW5vlY5phGfytJ11TbM
wtZzuLs6aOHFzIfiNkS6j71MlQjZViM16t9yHTInI+srqDU7EY7ywUd/roD9C/r/9kUN4Vg9am/s
vJsuw8DndjoXqlAsWGRNYzH10DUGbU4P9SFvMPfCIgl1sB0ECh++gY/i2B/BAMyYi1fMkDpUusUg
CpEQxq08Oo1J0gnZteQnpEWhuW/rshouRBa47uCNMGb/FBCSkpifc7bt2DXeGNWCOu/UEahT3Xqj
GQvEOMjQxwqZcbtZxkYOV4WxILo0jIjpYa0BaYwlMRjyFEHdQmJmyDz7RXKj04fAGQT/Fv4G5bRe
eCvsu5GyQtewPjidBQvyKVhcx76Y7bhfulYF+wFddrerK76SR3QVGbsoKkwCY00aAAA24BOTQSZY
myt6W+eOmrftB0rHOOBN6UXYc5dcmyXErJFBHmNLfECr+23h+Zj38BYjniWqYbEmo6WfNUuGXLBw
b+dRrXsdzh5pIelG3ajQ08vgldaNyi9PzB+MeWQGqupvIgvH5oTEthDbmuWjuncOo5mkzmSZgZ0I
QNpN0bY1P6ZZ3Vb3TuLGHBcqK3NBRljqXE74rhSO5svKbspRNNnFXA6q+oBCr0inmIzIlvuk7GSD
tnUIjbaCxCM2s/ZiaH/wRSeYAwqpthXggGcJY/EMBUNi/FgpCGA2mwajIDMekIANuLFWlHq4wTnd
ovEMMA5Gacjd1HIf4LaDXKVYXq0fMD1J5+2EnbxV6ypOKKK5d6ReqpDYcQL1Onoe40m6IyXneleV
omente7AvPbp0tlnV4wKohXVCOmQrc30vOSR7zgTmHFSgK5Ib+QUczQ2zKdmgmT9TQfZBUO3Z6lX
Hz2NmcHcXQ6rmspYNc5VydIMZ0c5a/gVG9KwPYRg8rp93+oxSLJp0e2JGujUoEVKMG/tlkGM2wJN
fD/yjO97W8wobZHUMlMoO3VvNDKkoCmCz7OAi/wxXbNyvoMkQ2jRe8/TYX0NWhZkL7rqSH0gAaiO
B4Kub38J1YDBPtSQpEZu07JwPvmhZ5avS89KfVqWzDNo8M1UxqtCOhKhvzxitlIYA7Bfb8PLkTTG
xXaBcehhwFcok3GltIqBjeeYmYfhGV47ya0CsvmqnuAM/IG4KjOXg1399kLA9m49P22Rguug7AJn
eCPC8gVtPi9ISiY9bSDWinomNi1We7NBZl3hgEQgPZf5btDuWnnDFMSL5/kDNovsB9AlNDvfQaXR
rkImMTB1bcRUe5AbKETxOp7Px1cxQj4BXHKWHfpOLX5EEO/q+2AYqMXey1jT20hLA1Y1WkwwihI5
KUgSUOYBXhNkfXpFc2HdFmEUWohT3RbTmy1nPZ+6VTTsaZhHHqJ46cvxYlnEOj9J0ejp+qzhGOxN
M6ZRA7GbPkI2mp2b5XqecOZigHkjl0WJC5ODaXCFQUkDwjty4xWtrb5C14rBuDJk9jOIq72MQCyi
bjNzXaFrN/T5HWASPjKiCabMdyWQjTgX4bEB7UY1yVQ9Ck0UkOYtwTxr2rXp0Hc2KsD3C6NOAkcQ
xJh9D+MbGkkZmrdo2BD7Gd2KtfAibpG+lhFDlLXoIdYd2B4RROpRd25n0ENhDtTOIc+fwbBexiEa
HUxs+l0zWVaUseuhH448lPCZ+ckQ5IByJP9hBgt5Xo/JHSZVgY0JEEEm8qTt0xhCycGHAK/2jpPL
M31Q+bn3m6H8nvU5ZobpdUfNsEG3YB0BsvZS7/Af6TiTeTFhvYdQ9zwnhJfdGK1Lzq4xsGrHhKcg
f/81BNN78zm+hG3TtabeEPWxDB/49NcgXe8FhVgdTBjX4H2D4k6iaVGwv0iheW8610GtUaWFEFsc
kwRNJDWRS4NobX7C4f0TwSqMDL5H+qAVRi0QaZhMeNh/fd4V9tg4r4MGohk0Gk50KmELIFRPb2aD
1i0KrNIjcefNeE4/hlCdUUV/hDZ6ByzLMKKZC28Q2w5upnVSgNRyCfBgHyNfw/gRszj5E6WBPwNT
vcOCDr3BUgOmeAtBgF7c26VLx0RnyHMTh5MJ6qSQf6iRlc5L+5M7/Ccgy/fqRCXwYThNKNtyCU8O
C9mZTY9e808u6M/e/R36TMPRz4hcMSBHmpdq8B+d1OlP4OJ/9t7v4KFI0/tGZynbLrD9iPJhORRj
HfzFN3+HMLO+b9tu5GyLHvQGg9QiSn10Hn+8oP7sm7+Dh6bzVFimCr7NiGdwpk9p5Oc4/f/au58/
9d940LTSAdBBuC90baDNaxVcJtfu/sdv/icrlATfvzkf/MbpucRyyYWirwY9JRcTvlD4Ckna6EiP
QGPvQXJi+i/Z8wXvZYpymTkBzRa2hR0qewr7wVyVPtqrP76gb8H1D3b3e5EiUS4B2kJZuG2kytGB
Vu3iMFzBP2+Lb/ljiMwb/6cN/ZbvCl0+lGvx4GOlsX1qijFHrZLlG7gzvs5TAOvmyAqkZP/4dv/r
y/y/s7fu5h/fw/z9P/Hzl06j2M9y++7Hvz90Df79z/Nr/vU337/i77u37upz82be/9F3r8H7/v65
yWf7+bsfNsjL7XI7vg3L3ZsZa/vt/fENz3/5f/vLv719e5eHRb/99svn16ZoExQ9Q/HF/vL7rw6v
v/0CdCHGJGd2yr9cZc8f8vtfnK/it1+Stzov/vhFb5+N/e0XIX4FCYX5jEvk9uf//vI39/btN/xX
ADCg3CR8ReEhJhG0Wzif5r/9QuWvaEMEgMj4Cv0L9At++Zvpxt9/FRKKVxEe+D7ekf7yzzvw3TP6
r2f2t3Zsbrqitea3X76Z3/3XksLFSSqoCkOfBxCwUPJdOC9aBnCawlikGNDJBmilx0B3ytzHfLLT
NYCCD6M3eHdtYJESY+CtjwC4ANEAfGqFlLSsn5tqmD4jqyoOaaVgCF5zhpmuGiO0FOy2AGDsduZk
vsPb50j+nL7J0OR9Qw3y4kYDvOOqYEJXovPFu7C70cqlDz3FfBS1oHkKurD53EkIY3toKkcmraqb
pWN3VVdPRwhEAmoVcPcYlJxsSLmmUYYhTaIAuLjvOvUR7bUw9h0QmW3VzxvueW5HWuAIZ0qLxBiN
pG3p70kT5GegbgfWhFV3evaqZBxtfx82kNA2GXLxzMGCXA6W7YFi6XeYd7gnHK6A3NC0/orueXua
gix/kbzp0Z4w9mVspXkoR9pAtT8FOiLk4PGGUyCKpGxmz8d8KvU/VSVa4PA4H1FeSXVyPhAzMSTD
O1QBmHd8ggNIAQkYxcIiAnSWPHe+UBFJtQOADPTYLhomdsksjDeiRVTyUXq1Oea93yDPkKueQKnu
IMrzbZH/v97sl8UXgES7r/b9bv8uQPx/FBKEIgEN6I8iwg6juOHzd4HkX6/6PSSEv8KlC/JeHLhU
Sr5ljP8ICVz+6isg9Qn16XmXn+mI/wwJ4a/CB69XcUHlOYzgS/wzJJBffV8EEirAlPrniPE/CQnn
s/e7iIBPkIqA/K18Kvz3ohaKwjnQ1LPYWHYGuKzrsjzllM8/OSq/z1QReJTkIWIPV4JTXNe7wGM4
yhSXtRwjmWr6NBFPbjGUgtDqZKtpl6F03P3bU/g99P17qPsmHPv9hUmOZkUIDjDB4OS9XpNC9Y0B
d8o3wocTfYRmTZ3HI/AHODlF0CZAwBT3chQlKALybnQE3Usknuundgn8HelVeQHYQnDh9xPdYIeW
F2qp3SU6DOvJnyv9E+77u9P+H3cIjzxkjCkiyHs5l1J41eJmQLEhdNy8ummpYgPcGJrNAJUkpZfK
yGWYREWF7F6Hjqyv4yzd45JBr5sB1fM1G8fqQ4sRAsB2a/f1x7eT/vd1IjkMSInAGRZgTWI9/nsO
h3KG6FItfDOiPL+EuWc1xwXrgkQYlx+XchYIur7ujrUN5g3xSLa3GZ03+M5yf8aOIXxmzfUy50eo
0h9I7t3OGSbTUTqNgE5w2Ac/B7D/2k0poDt1R7uXMfOrXQNVv7sfX8s36vb7pQEzTBzCQRDi4H1X
A8hiRdU/Bmyjxzo/LWyQsTsj1JMZbL0LB1PxKm4CwjZeZ9xry12XYvbYQqC/bXAizFx5t+M822eO
+O5FEF87NZXHPs5+tTWGXYoBgPFWFFMsai+7BlJwOlh4TmyGrHzWrM8BjWQfFbPBlQUkqW3PICwo
feuFN4dqqPkVwnl/Qr2/6ghSDIC6UMyHt3nTYgwuhMBERqI1gdbN5aBJ/ir5ANMlH5CbI/Bh66UF
/DOLckSj49AQt0Ql9ZRNOkBNP/74Xn7buO/upUBaEgbCx3QSrYnv1wXgVJjlmYVt/DRorjtMXoDx
cOSEBGiHmf9Xr3TzNQQawccAPgmJ+DjU7ivv6+EFgyZ7CQkKGAxTsB2A9K7rRHg9wMxtC2Cplwb6
pgNCcj9NJpuPmW6WVzU6/37UKYgC9ex99OFmc9IrBvlxrQsSLRmZT7Iay60dOfnJwvnWlvhvFyvO
R4IE7A1b4d3FSqLhfYBNADOn6SprKNpcuLXhQSOs33iYlm0hxUdRmdXrLSA02THQDIMvtOT13kdn
/gN60svb4DLy5cfP4Q/iqzwHWYonwAH0fFfA1Rl4MjVzbAOGESCbQ/cVmj+H0FYzkADT/0hb6Vuo
kqGiVEFeQQJ78a7O7XA+OLmcoX5nXSsC6PZ5F5c/YRKev/K7m/3dp7zbpbUsC8zpMeeugqJ4g21k
d1rGFlicEJKf2x/fPvUHn6UUzmicqHA7Oifg/x7dsCRLrWnPNugm02PgNevrynt+CoeA3NHZIOzC
D0ghYSSkvYFv0pD8+Av8QXhVoYDPNoBrSMzfSzZ0nmO6zxmD5o6YHn3XA2OdruInpzD9vkjGNEv6
SBwYkwjhFFPpd40jqJn6cqlLvpnYcKcNzUASWiBMP93OKPVUcT23QYwy4PWclo557V2vfp1GOE9k
UgaY1alxNMACh90tJkZuJzJrIzbfGeDqwCDLMfEpMuCbxvyA6QxdItC1B6jZ9G9lVvykm/B+fTAp
WQgzaAFV+nNe9a7wX8O16kc+iE2PYydOAQmK+DJlyco77ydP57/dNpRf54PP50hgfPbeszhfU0Ce
4fi3ETXPLtKl8vaCrNMxG9p6G5h03ONWq598KFLB97uaE4ZMAOkSIqtgSM++X5aOWkYb36WbqXYP
rKi6TZDJYafS2X0E7AzNFH82d4AEHYCzexaqLbfCLfRzmYFRYkl+RO6DMkEKgEj4jdH63OKHWV8x
wMYCJDEUWMVzSs1zN/m7grguAgDYRGDw06ivLUbSbj6wagphM2sARMfsAjgkAFWKJQfqkGGWXJCF
bAc/ZZeyS+ckG8hJU6/eitnlkUrBIgp0czv2uYraPtPYQHeoW2IE/UMVynsMesbrlX8O9fraktVc
t2vDkpax7KPpvPHa60u6daXJknQt/agBjy0ajChhTAspbfxcl8/L6vkAlRUQ6lazmV5prYZdmIcK
TAsbhM9zQTGmIc2D1tPNIHcjrrMoM/9LCl/RDQMqIALLpvkkQI5ZIwso75b1VbVpC6X3c80atFWH
5irsy+rGn3k6At4F5RagdHHmDiN9A6hTXjaNMNvCz/wkLSqXxsqfQEd0XDRJilPqE9SM3KYwELLF
9DvWNb9nuugS22NoBZGtMcT0GBjWIyYH4W2aT30simUzB2SjunnfARsB3H0AjCEKdsyV5jABy0d9
hWXZqXLjQz+NbyWyy8eCYuYdrBgrAp/+1OT9hWlmszWjnS5TCthhX5bB7VQBvhYtumvwXjV6flBx
Bf6ov23U+jhno7ycKoFBqx6Ath0zwPkrOfPYB9bjegA8fOdDEuzGQs4LJAU8tnGQGJakefZVTlbt
sjU1UGqT+tbU0v/Y9rp+ckWwa0vw+bZFOcsbTMD1rVfVGKTMGckBS6H9AvrdBGxOttrbIF1GEEpB
4OyBNnkABFLvNFRYrzzdZ3twBL27ConWFew+87gklCQg6wl8MtdX6eqNm8rNZDOG0v/spf5w6IAV
vqLo0Cc5nt5+LRt7m4/1C/iAy0t5vkJHALAa0umGZLDH6h6ID+Ic6CnXfbpcpp4wu5KU7tD5VfcF
IiP5A5CUKOsDyNOxUQLl1Ff+hSfqNbG2t8mq1joCioUBFeXyq6rv1oToxY8x9my/YgY/b70pXC4a
PTTXLZNvcDV7bjF8UhHggaCzDeiqPwkQa/dhhnk9xmY1croZTFqTrwfpSgA6h+xp0OYJbZSxjCzm
3i9159vHDObW+0b1DXyIlm6j05bGqHzMaWgGDNHVwPflAIja4Mlsw+BDFfuEt4/h0HqXBb5VAulN
/HHV3iHCzvserIgDkB1gCfI2gymaO6VmegtYdgSeg6PPo9D+bEkwx2WR4w+8LL+fZqBkp3nythUE
jK9TAwQMYI/yHr7JL0ay7q4eHL8GJEJH2INrEgKjdqgbdrNqEtyOeYNnQoG6SXLjxosQWBFsKptv
c+VcDEIIRrGdPolyAh014EWULTmQ5emaf7BB3uH/6fVICHisrAOjYIHo/hY0kQUHRA9Ynp+Xnw2k
qU4TIBlXxZrWwDx17hLjuGbjAXiV5HW5Qx/muc8bs4W1ZpuEXt0jrg5JNYGlN8Mq5KqrMIxdvJl+
AacIQzoJBRQ4wZGkAE/shnpwsIO3V7XwbdCEj0HaA7AeZOWwyfM28UV17Vky3sF68Og3UzwGgKtW
5QP6Xi2uWFe34CP5cb0U9JWscw30b4lMX7o13JWGClBq17aErBm/HihmMiCgrvt+Du79dI5ZG9Jo
HFMAuUHaaVfIk2Fy/wJg7TH3WVKH1Qto1sC1t1O4c5oDPe+R/0PdmSzHjaRd9oXayzA7sAViDo7B
QSQ3MEqkADgmxzw8/X9CWVadf3dVm7VZb3pTpswsUWIQcP+Ge899qnO96dJ5vK3cMcZ3VROn62Jp
eOvX0tzohgy5j4T2bAxTHAm7RWFtCvXannuzTyKrtPGm5cndsOJG7a3JjFCOrghk0P2EommHCPFp
RTRWVzk7L3DQGU/xibKj3tdK5efaFuODMDM0IEZV3aTQfVCldvXF8ZrHNCcvoS4C8Zk5bY11ywAO
S9jba1z5zrZH7XiTxe1VE0kwQYe8/a4aQcMHs7+SDafTT9zXUO98Ywilx83ZWkvDe6GDw4jGJNK9
oh0sFn/TJXV51LabcfS7GG7a3LglkHPY9Q2Ht8rax9b8jXrSrkJPLN2z30us4WaqH6ypWC5ekvtn
lEDLWa5SnQ3HXrbo2uIf1RosbzhDNLa7wrwgUmz2iBO4C9n57522zz6IvF0j7WAhGRv/Ktg1jGOW
BlDE7YTrNl2gSOTpZkbv8sBkp98afLc36Pbdcz927k2ML22bxqPxbBlp9kg24RX6PPk3DHKZOgYq
uUXkxa+6YLxrpPpCUK2eU7c0ouyq3+YR3UKu/OmXbrojkgohvGyvpws2TURlxdXis0pvObIX3Nqi
Penh3jWybdl51T1RiE2IlMTvI1N78VYMvry1G6++9GvmfhFhUr5Jq3IjpLuvC7K3TZ0aXH9NP+7d
qww97DFI7g0nqELheOWpzxuPM8wBuCSRTSCC7SIp2uYJU5sD8AnU/7iT2k2PjS31zkCXERbsxTar
U/Lgx30r9GauPOeoEizRlW/88J1ePvj8/nCYhXis8Kzdrlnz5XWWuQXahcMcV0/1hMXpDgfXQXbO
b4RIpwRI2wN+Dm8zL2O+SaZUHYlqNZ4TZHURhmjYBdK57RK9HZMYc1Qb79qY5RQDArzhozCD+wmU
wn3fd8kLLaZ3df1m5g4VjpeGshvbO/YH8atspXkpy964tfpJn+wkmW/nee6+iNhCDDc2afo8IZV8
EIbjfuPCC375WVqd8ixTWyvl95kxHKnWq1ozzCj6drGrbDAKs718WkEnb8qxWwT6v7ratoGsLrqS
1TFt1PhdTLM3hMoW+pywACR5Wds6lGaGxjqmJlEYNPxN7XJfj4x/6rD0MDWDs3O4Kocmfna0OfDD
R7EZdhP+9gXPcUGd2XiaZTnerKyzitfaDea3FlExDrOu6NtQp2kcb9Vgpx6cDBXcoYTD1paLaWPT
DKFQjYX7njRcQaAtinfPGuQ+cIVYMCMjYp+mMrgNikbzl2eVUlLPKGTjWjRADRqx3s8I6yiZMHve
6yXtbtWoLqW3/nSk+jGUzrBLse6f2oSs3WFY39D68EKvJY6WNG8Pg73WWyyeVYgrFda9JSFgBO3a
XEdEyFtKXHm68Icby25NcB9DupPIak6EBJNnTAI0Gpp02sUlyh9MijtuV2RYdokKED2UOgtc1K/V
vJ6H+AuV7cWfrGd4EZ9mkx79Jflw8+4ttRznUCaifGwQHB86o0Jda5TyphjxpW6KOrtGAprYo2oW
MneloduNhOp5KAuBWU8WFnWS7yKeddv+SXR5vsETbXeho63hLq+yxAmvJt5PACY+RvLJGh6a2E0e
i2B+iufSPhDrU70j0F/ZQkyGfWC0NH2PCnn7Wspmv8w1BnCt5QF/aYJtmGvvC+neyPDVZFXjeDG2
JZvkXoEONurb+tFP1HQYDTN5r+reDFtz8LcQIwCoJMHJrnL96OUMXCCQoLAbu0wfyc6ZXo2WOGd6
ldFuwixxdeTVKz2rwSoRyZyX/eb3VNsCH7HeNIvwuFi9NnVYVHXilE8+skeVdPcS5kC6dRi1blsr
KG9Gh1yxMPNg0xQqlXsVGD1HrlPbuEAtrDpd4D+JWdIwSIaGL+y46ncaduPMiKLeYycMeLmHYC8S
gZA5Xh+xlEVjUFZIzLN1N9u98ck7bG0Xe4oP+eCvD2I0hu0sAwwE89DWR7vyxa2R2gSCGDNWmwKl
+T1BetUW2R+0DUhO+yH2s01mO+a5TPwXBMsnq+zqn1iesz3S8vTJGUX9tLro3gfNdjVDSktTF3iP
QWAZH6lbBJcht6xbSxpxyJdMfl2Pwo8yqdOnYSobl3+Zm+dWuVaIeCV4YYHcP8ucTIXN0Ge/OFiK
u3Sc5heS/zK1yWRe70xMWB9Iohq+hzQ/pAmhE0WfJXfmmqCWbQnCqJW2jxqh3V1mXqNghJX8yPQQ
32vwILxAzF4mJPPnkoLtRwnKZgUZEhR7ah6tt83Ids4v5+DQjBIQAlOG7J7J4PiaO0wGZ7GUpzoY
O/KPa8xaRpdKxilruxwq6rWzV/Te92Q21tXCBy2J6HH9iFp4qdJQTJZ1dBGPUfTRTR7ylqFsWGXk
FzTKrw5pNakfXVe2741yDHNrGywOiLLBsL6hOFcvgwkV2PIXc+uAZMNMVJY0Nn5SGjdNOqZ3wjOq
rYnf4TDG7RgK28S3uKTtA9ek2qFOB5DDRZxE6eIvr8KsqheRCcBrhQ/VVK8xzWHV3+VyfpQxUruQ
pKrhoPkWBDo+Xf3mHx0vmpyC0jJffJClgWjYdcyJ715EmmQbqC9UIbGV4/ZHH/xi9iYDU8OgvuM/
N78KHc/bcR2te3MscVYLCp67uBXjJ8pc9Y7fsGq3scnuEdeAM2UXO0170jBtit2/5M01ovSwTZYL
3ygjdN3OgqaqtPdc6st+ll55yG1h2K9lHHe/R0sVtNZMDquT5ZQeTpRhcadzsGBlCNfYlMumWPJ2
ukL6hbj/SydtLvAAtrPrvg3lXAIC8u1LsdrBIRNZs4TlWPd+SIWvat52cqW39JnTfc+mm6NghaAT
xnkWpLuyQmPXk9rEpb36eov7e7Fu/qmwzlwWVX6t1tAlxeU4N4QN5qAdXrLRReknMINODXvZTvjz
71UHK9pmy5lOq6jLny4Wwl2n8V9HCzcsGs1ptG9KWa4/rMrpfiM+8m6N1RVffOvN+xBPZH0A8+tP
XIUcA3/XbmPxWe662vNJ10HpdTXmGjdMwxLO87EkyGO0i2zTYEq6z8bAuEMJrj7+knfLqfF/Ktx6
TNc5uH80pg+Nw7ens+pTHwTcJKomvLpW3jGW1ptCO/EbKyXeq7HIaPSy+qkaY/8mbt0k3wnf/kns
/faPRtzpHZYnzDP3V6F4nuP/XldGYGG1iuSSLbJ4JpWy39mGTs74/c17nKaCwUc7tDIcxqrbLdXa
H5eysbZaZG2/La26/cFefzworq9XvOdxzwmfeirEVNud2lWR2025tJ2muj/wqibnxh/MB5wgwoNr
0MMXmtE/i6if+7iK5nmJO9yy4BedeVxvlWnSGNAN/7Tcxj8yXU3O1jh/d+b43XbixaAFCAsFccZG
4L7xa4JynIkjtHYrgoJ1kpygYQQ3uE+zb8Rj6KixEi6QfwJuhpLCOvSFBceqccyr8D3rohXz2Df2
nhhFtrR/d5Y7db+ufwRRgd6E8mBOnRTctjXi0l7HjNbeY5254L9dnFCbSH9B5XhhvcS04Our27YQ
tPIVb5bQFSwtH7XfHMuHEeX9bc8Z7PJtxZusR1wZBrk9nMe+WY/t5CCCbZZ3g6/ihdhEnQ2NCakd
/TJDY0n8edMu64c/MIdL9kHpvMvWn+6NRtpviBr5zrmGQ+aL/ZEdV71lumS/cjtFjkiba1z44t4J
pAwRtYwKpyL3N1dlf1qVzRmvInSAvtFfSzEzbisHXGyaXlfMsHHsZurjKK4WGdWIqfgITffYUdIm
oeaymsJ+5kruc2vee+0q9rXRFZuy9WBVJYOl7zpLVDvDaSGpSSsxQk4680ljG/jFKEMFm0n5sxEJ
NR9JgryQVZI+oLUOy0B0BT3gYN/G8RD1iudw8RYIWb4PE4yfeI9Nw3JYuvoTT2wanOsxeJuELV/T
1fNO+dLqKPdXk9FsOW9c7t7ToDz71h8H75qU0byNpqfOpVuWEcWB3lrzOEUZNpHQCYLpdp78nJRi
QyzbwE7Z1lX0V48S1e/OGafx3Mog+5W0UOY1lPnIdlmj5VlSvZTgcZ6TZFgvQiTylX09DDSJKwgm
wNDYW7KsaqApyrQ3TtVfBSJZwQy2sBBvwtawliyGkNHro7midddYkiIgqAr5ST5WkYO0Pgycucz2
E7XknmtaGQiojSkiAClON2QrJ5RbC47tLEBEDl1EAX2E97CG8Zr1R7bQ/hotXaPLXZfJ4QJlxTgU
lPc1p6nfTLRdVpZgY5jEY1Ys6q7Be3jym7Lfp3VbbAiX9W5mp2oOU25i12swMSHapAfqgOC0sdKQ
eOoHfBv2iznHYdVaH1ntfQaoZkIXHBmWO29stl5KqO+mar2oX4pbb4hdWBOpcdE1jummsv1TuUzF
bdblz1UaYF8uxvR3A4fzSbaO8zzkdXzMKEG2ohmfYgs6Oq626TKVk3EYCkBtMzcpYqzqqhgaLrFY
kydvLcs90jNvZ5VMmRno2rdT5QzE5+p+N3R1FbIMeR/81jgbSYHvOy5R17dyPzg8RuAQfvd0K1/L
ChJHizm6Cs2j2cXLDM0izDNdHg2rLrZNSy6OTPGQFIjga55wO9mu9po+4xHZrexjbVwX8IhgrOH1
/OV05XpO8JTf+zgLXfzvDv5kwUlaMX/aO7Ex7GoAGU2oe8vfWu59g8sqJANAj1HrdlDbMKqmMAZU
qdEuFWeYWbBcxDZQ1d2YieG9DNyvwRfJfhCzeVyqnv+3X3iPg9FGeMlvrLU/CE1/V/eJc0bLf8/s
t2Z3cCXxqcdauMbPVK8TRxPtsDWVM+P8cTkzAHvB58lYwZARi4fIIhY7TMZBH+02OycVmq++nYsv
YHlZhE/gY12TG8R0ZnJNB0VZZloJYB3tW1wHAsOXSwu0utlRWgt5W3WAajfsKzZZlB7y7Io5j1rM
7aFXLDKsbRd4gokjOL62Ey6siI/KD7xzOebOxq49mvZh3iWcuRtDJvm4QQP3sy4r58lrEtD3SWql
kOyE5e2cRfWHYlm0w6ylTk+uyHJvb5em+96Opkg+Y/4Fr2erPfrewHzGtgo4cBqZtpHAuc15b3VE
L71dfX+BYxhoRhlttjzGwomfcLhBBBiCOthL3zrCydskfmOdGtfKWGCO07QcRrlmn7GEXUjnyyPV
ZmatnkW2KlaOpp0Gn0kWcxCbri0jo0lFfPYy+pMoATs5vQeByh+DRLr2kXW2KqJlYD/CglbdQMhe
ozWfZ6wQ2FgWAFmAQbgPPYMVAudp4DUhWIyLmsac8E2H05Zzg9RigsnXcIJogQ4k8+Q7SejD51Jj
If/jmGqdYChDDK8IAunrIqyhxIqtPUlWzWL2B+Vy3RcGP2qawZFuMSZh7hGg4RuD4narrAm02dzL
k/RcZvhChph3XE6r4s4zML+iQ7i3lXXsSv2ZGgBd2HPdu9zvSV3d2yI5d6oXT46JKz10kip5dClI
bnni0ve4UQ0dcRNOXWLcyMX8agHGbBJwtYdibDK2S0sTlirYj2XwMSbjxW3mNyfu5j7kxeWNX+3m
SIJImPhJv3eqtr4LEJhGXsuDXmYMG7GpXEU25nDh7q64IXOmZAo+0JY2gE61Fw4+hGIdy+91xEbR
OnYXXSmPpD/CBJExPRNCQlQmHlspHXTTUwBK6CUZNBkjmc2QunCbO4WAwSjy284W8RY0JFAUP2VI
0dVx/Ea/UBpbVGnNRgIXOI613X9kpsIb3eIcPiMvNpJodHNF4ZuxFm7IthblkHDkpdApMA+rJDgs
hjlsDFodON55Wd8ZReU+NVNgUmgxP80MwXLEVe9dIsw9gbMMjBfO/ax22w1Ez/VtkXRtZcQqi8kG
nIrs3mvLt2ky7cdkNeNk1/X28qGNLD8MVMe3TtB7AENXk+EXaz1KotWNarUExu1cCKMJpeRjQA8m
1L7skvjeZjT0i96ULmRV8V02JhWDCj4/PkmRSnMbu2bxQguHmrRt9znoh6k0jbMTCPYF3Zi/lH1z
aAc97dxyeu071KEYdV9YIO+16ctDwS5pO6wgBY1ladON27rMuJXAUM9KkXMle+lrWaAY0XQmZO4y
vvKM9ne1Zne6kXmIkx5MSLuppoLsXUB8OKydPFr9jAk82SOpZQOxRGmDPdnSWKiX0qLHRw0DQM7N
flqD5WpEjXo6YDRr30BvM1v1nOboKqv5qsCIoYOyeECmrI2zEB/0+FS4pjVHjdnnhxw5LMM1HIcy
9csXYijhlgwM64IImsrK30tizau85DFt8rteDlQWo85ObE5YOVhlcZjbAAJqawyE8zgE3VzWOSPW
SZrTFRfgWwcYVBBaMDuwToD28qY4FX+tJN1HFeKaJ0/HBJv3s87O7upwhLlyfIBbF4SjBRKdc0Oc
i8zCBuk3tXNsrdGpsDFO+d1EHXMasR4DHQL6xjYtxUkV/mWK7A0LT0vPRx4Ja3jNuxXQl7/628wb
2/3km4qyDvyp1FyDU+ru8bevXYh517qlg6vDtGWrOG6aZn2s9Bc0QvGN41lEeBzFTX6teKfVyi7o
9eo7OxiHqMZ4/aDW1TvwKtkPAeOgVye15NYPiDIBjFnR77l9aK2dFbk55ANHIftll5ffoHNyKMtG
aue4mc6cuHM0UsvtBk7pvWfn7P3r9roZa2LzB+QzfYrZAm10HqRgN2zvMqxBdgs51P1lBlLGIVM9
Lo9czfZmcFyc3JOAuJoO04YZkr0xUiBnOhf9W5ul7hNMW9Yx2uRRSrC1TXB4Li5SrbBmD3UltHYb
xSHLgGqEYNIYOdOUfCF+IHfLp6zU+R4xeP+jiTnrasNmoT9VKNvCBcoFzFZxxaQUhIiHOpHEdcg6
/QWaz3rHcprdL1bXbFgnishCqBjWAGUjH2RpZEFt5ZMqarJi7eWcCp8rJ6lHfjpT3fifYhLvMGK+
k1Hat25gP/BAMa1nmgSiv1cPqTDLYTOo9to5OGk53wUrq+s9nIFu2EM35zRL22488Fg3lI82I9Op
9FPQUVnyIhvjytM1stHY1AHwrUjwySIZWIObajTjgyvL9peVTKHNzD2Wdn+P/XE5VgaIMmh1Yxv1
k0I+k/ZZ/JgwLHri6cp+5CCz3+CpFRtPwo0CO5LsgFSt9x4hL1EjB/rLeBlZOxem8Ybqsn/JV4vB
lF82jMNX0z+mrdVEyMaS7yBZ/Y2GkLDFmrs8NUGjb6qyKnfcFsXWk213wjin6UdBSbB+Mf90yUM0
21VzForuy0qK4uQuiXkE5YSvhDsErFsBWrdzxvWOQUt/XNNcfOZJ4r3aHYU2dDAcOCLtmMPKdD9n
KtvhZNkW1jx8CZxyxF9eTcDSmoiUgV90E6/T/MATWVBSO+177Y3qlx1cKb1psj5JaY1TuNDv4JNk
fYyCYcPUOETfyP/mTEmeF9LQh4jlhj9Hxth3T+ZcdndOXjfuneFX46lfzArtkpiI3aDXOjRZygYd
qtPDYqcwJIVXmofATIut9no0KiZ2XRko+Uxch3WXakzulikZ2hTWxPvMq6eTjiUmuZIvaVsiIRFI
qNauvhW1eJGV+LaRdj4DJmsucIPjnajn7FrVQuFwsuzVwOp7vwyJfLbnfLyIZYQCoR4nRq07y1HD
W1573YNr2vObiNN+qxCinO0aGtAg4+GNY+XNywv7dhHX+mAq8zs7d6xzVXTGvkjS8gFndR7F7ph/
jWPc7Rrgs1FbjhmtisHpgMDqQG+YQRrSVp9GyD9c4E5dsx9bf30vk6Zdwn5ZrV+lfeXadNqAEEyd
fFYZVN8KPOWhwS666TwJk0IPUJGggO7ppX2OJuytpfaY+3j9vrXlcNJTjMfbM803NwAxwEBzjMuw
yUrzkWFrdh7X3t4xs1V8VTnvam3kxwST04OWTbctg8DciLTyz8CFEcVWvyfmNd7MnVHgkN1TRgft
lZ8I60mlRhR3qjo0HlNjXIXvfpp+oVL69pm2Rglb7Cw2d7NEotZ0ntrrpv4GcF2HgSf2FYDzsAQq
q/PF2aTleJO0yc0k69d54NiZV1LFChZDwlwM9sbpllc2GkxnM2bSPBajflo684BiKJLGmB4WVRWR
O2UoENgK4TifWWT5A+OesgP6bInDajSnwnYOg1punIbp92J6bIT4kofOn9XO6YnPY+Oe0UwOg/qQ
uLd2Qibq1pdZ/mSx/3p2KzrGes0YhZe1uf8fa21QN7K638q8Tz5Fmjq3tMDGbgVLtq+6rHv5o2f8
f+0Y+f/JC+KYXDCegXnL4xdIx1EJ/men2M3n12ee/t0qhk7xf/8Cf1lEfOMf132v7ZkoHmyMYMhD
/+kas/6B+s/woGw5/OIqTP2nQ8SW/yAT1Mc+4pgy8Pxruuw/HSK2hQlN+swZaRVAOqMm/b8wjfnu
VWn7P5W4wjKZ5F4dCf+LzhfFQp2beZ8e/gOFzQ6q9SxFhaQO8ujJ6F15qq1r6fnvmWyuiIc7dmjL
q1ZlwPAk8yu9oxUgHCGbmuBSatU9ytxw5kgqEFhclH9wbQxfybnR3KHbzjYYJHUM7JKfI4gfTTNS
s3VHRHkqZnP6HOOl+qlTROnb1sEbQSdOdgDtfsDRMGJEOUyL5320S54g562DedkvRm8YyOnp2ABR
X0fIzZI6AB80IPeTuqLgYPSSyqTWtnl25VA+oWuYNx6xROCSl9Z7hzpdPsyzucCc/UOKa9VacHAv
DQMP200NFkdLDrYBxUQG1LCXlxmmAiMxNvO/FDOHU6BK52QOSXJxBSOHP0g5y1XDD4MJ/EOJc+Ui
S8YFoneCg1PoFfDzXG0ZEMv4ZnQ9e4NTDo5t4s0bBNo4bMbhX/i5YJr5OeIVSwNuXW8cwhJC3pmU
bvv3FI/zEzqp9ZvYeuIW4kQ37yt7ovtgWJSJU04xgYRpS4nzB1k3DGX/kGr2DZTnM5umWa8uvf4y
7vMiS8BCJOP0Ik1PvDZsWEEBT9J44QRLF47UhnUrqy3jwfdS66dC67xvV/bBptXDuAe00D3gcxCs
B8GyyW2p4+Cs7Ly/UVXaNujt2upAln3WHR2aE0IkuMc/gOOJduM6Q/edcK4+u8CWp7BzeqqKvxB5
MZrGWrdeF9HWYzToEYPv80Z1wT0wIADAPUczoqmALTCCLtbptyAEGSbiQKkdiDiVsHekOsnvSoGT
YFFI3FukVaXXLcnz0I7+wun1bqs/VqdI3wxL15y/2Vzdly6wlBDWB+0GUKlyYsQs0Unwwc4Ds6Ay
4/MbB1B+Nn/QvMncJb0gUWvQiXVe8lYSCvQ7U1ou13oj/sbX1B981QzmL83+t6T58MyRSVJMr82f
1dc7iZC0fhgLy7wZgrRi9V4UFIITK4jBS+etaPVQEXZR8s+d1YkbU2Q1uPZhCD4cVjDqoU9HtCDO
HLtHNS3lS8Pc7mtx1+x9TnIm439j+JmEI+yUIZiI4kqejjqVKPBS5UmGx3/IflbVFH5k1HkPFgol
Eh55Y8Ekvy7+91+kP2DMkJdl4apwZFrzaAxxB6LxX+A/gabkZ8As8ofiRr9z5nXduUPX1xuY3p4f
6n8hAafWZcLpTvV5XU10VIU0vO3sK43WbYxHdk0Bs6k/nECLWROfRXnF4vwfOIFVT6xIiMWFjeAf
WGCBWBrgqzu64ahIT0ChNv5C8Dk3oQkjKGDmvPa3RX4Vg/1ncKDUNPCYXwbzHUTF+tWLLvG2Vm8s
t0bZi9tBpslt0Lk589Dakcyedfb0F1awGD3zaEzeeiC/s70AGRvvu8TyaBeniiRVmLNvUMwlG11A
210cx0yGOXKiKyNnp3JkaqEb6Gx71R9W0XWY98G+u75XBZaLDuIYlPF5Pg5XyM7AItNHCZNSS/yd
WzjkmhmTMyX6Xdc6f5fkw04n3Hj/BmNo0DHc22hQo7Hom+Uk3Bkw8uR3dkDRrGpk04KlsdHZKKbi
QtU/C9f2nntn4CFsjIEJfTI16sOsHf3mNhO8vAZq/VUiSqPJCGNF31LnKq8Yev1bGGIPaP6B9YjT
bGxRGdY5Bb3KCpWPf93C+BIzRLllnA9XYxWDg78YiY1ub5OVwjgEaraQM5NYwV3byOLnnCbp75Tc
lI3ujOw5sdjfhkFhc91IVmD7v2CKRVLLbbyYDG4TPGEHpzLIchF1M5+csZnT0F7i4jRMo7dGLn1S
FxV1z2xMQZ7ZENgN7MaP54dJN1A9xSJyRompcTR7QBwjETBONDM/nncNoSg3qI+Ey4AUdL+h7XQ/
zvftMEPVozWHtUjrugLQRUsxlCWzRKNxjDwixlz9/ENuNAqbiIZsomssBn5Xzd/wUdcSY3ZBWkcv
qDiiBOcP1m4ITiggpv+OdCzzpVEYdLqD9Px9D+HWCxezeC/8Njj3XkmlnjfM8tMqKE6pPTGiN1Xb
5Pj1Y9e4CpcqzqGrDNu82P78aJl1EPpXCGTBbcBFncF0+u8gSKfq+ksVD+Nvh8tnbye9fcJW+4lo
0dusqEcO62QnB6vvuhd7dsk0yJmOYm5nxtTj2P8G8grFC4N58DCwI97lBQEL0Sp9fTJJxt1C9xoO
ULeZ8jLnbtvNhH79hrltf1MltQF4KEam43KQb9WE0h1PRlIvEcJzAG29R6xblCL+23fMHa+QpiY/
rhmCVks5xWnmUbvx/V6dGcc45yEdfCRNeujeAp6zTedW/i8PsDU608pp7p2y8C8sm+VB9X1lRo6O
49CahfUV8MBsYgBAj2QeQRcs1szZljDoDobb6xejMtjoDfz4WXekb2WaoyGZrJwJVgZ+NTSlkncV
4sZfZta7wG2DqWYI3euPvgXxuiJox6bfdb9wEOkHrwc4A6yc7mnKVXLXuZ3c2jWt/YQUFL5RoW1I
/zhaPkoyO5aIRn5+8RxUu+wAS7JJUCndl7Gwb9SgZRkVJW/hNe3HJEypHoZ3hPFyC1QPvZWDxpID
IE7epZGnzHOycf4QXio+rvjgjJgSNb/qQHn71Nfy/kpSOAXzlP/m79s+yKRbfgbrkLGN00tHeUY/
B5m39ftnKBrMZ1U3uWpjw2m0Qs9dFkRprb+TSFFeV8cjM6Kpys8AYxAqxS4n36EneasnV7yv2shq
bBbmnHo3f+E8WcS2j1lrM3eqtQdN6u9kTz2kbXZi7TKg4fob39MPZq/YFWZq3uHRcX5YchoJ7+iY
mu2ysRzNcG79xA4zq/XPWSLXMvo7BdRHkWdHg9V4QRQvU/s+9VmrNszp2ARnaxHfIqiBDerC4z3y
hARrVFtZ/5mkkkttwjN2yUfJ50+GH7TgpFTDwZrL4tVx0uaimwIWREs/dFHAIDajORIUYhnynHWu
f2/Og/GdmY2PyBNNt7Xl3q04AK2hmPCMtO7TUgCA3LK4462bWpJ1tqC0dLYxBS3Mg++WY7ybRqh+
KBTrepPnjvZDOmrf3tRcFSO8f+CEIT8FTJ4kx8i9R5YM6TMWXg4I4v7KCq9wfqtSQMmsAmG+IAxd
PjNfGF++XwzDoZ7Wzmb3BF6PYlVVwMIHcIJRoZTeFh3TjtQpkt9gKDKEylrBfddmtqPGRNnj+BmC
57p9HPwKZpxsOaKqjjCRhapNbZzZJMYq9VEKGKy+gWd38WfAQPZiVJQYW6regCEw29FiO2uii6iv
C/G7GMqVGm1oj8HKN478o6l3Iq7mbSuRO4dw340NT/ZgQssw6k+bQR040zEptmBlYRRra34AekfO
V6XZvofIPWM2rm1rRUD604e4yJ0jxqTkPjfKklmIh52cDshCsNHaE3AfPN06eVGZw9/JbG39qifp
d7gXIFygtLEugLyZexRG7m2KuBk2QgnA0qzvty3SrkNvo9vxMOkmUWxQAWK+bY0NKUQ9Gw6DZ1Fn
ORt5I2GtVoj/Iu/cdiRVsi37K/0BzRFgYMBju4NfwyM87hH5giIiM7nfMTD4+jO8qqTWKXWrdZ5b
9VKqvXPvygzAls0155j9udArnTTaWteDMVpEl2DyLvvYqDx9QUA1XibMkETQ0sE9Jh5bAI52S9r7
Uaj41PBM/yxlwNC8OlbyxMlN74qws+AMyLY+tqNZtButG7EHYaS2E9b2HdFvHSVon3hsUiRxJOb1
6OQIfYbpkYYAzQkQZFAX/k87J4eU4QdzQBfhc6x30MWFwUtT3mJw2Go2wdSV2xyVKNR5oZ4aR5Gb
quBjDpuYXpZN3ZnZI7nAMrLagHyc6wfu2axsxim3iCNbxt/MqcEejG0JqBJZGydI8svuq/F7MU1X
bAxS3rflYfELKdG77bQGjf+0yk9zY5T71cBMsrBpftE6vi7paH1aUA0e3aznvbSB9W9i6Wq8FNN8
oLcxOUN+LPhzl9nJhzObbjVW9T17fvu961cWNQ3GiduEXoldapq4MjzHaWnaS3Km2SIzv1lB3ax1
yM4FL86AmaFUPEQ3GmI/4YO1jSyH2I5/8diwsKGBkJ65F9oufCy0jbyCsnOeWQ6IoycHyKmDK6IZ
986ySfB6vXSU59yIBrgvZeL7EVnl9IVXL/5MpU0vgh+rlrVLgoVlUBPcqLI2q3sovulJxKm8Tjfc
JmBEf6HWSprFxTWEOqRZKu4zewXxH2NIeuhpwlpClzqBMDWVd4yrZIHPq/LxeaHi7FWVarpCVnd/
eHetq5X2wZ9uSIddH1B4sZH2khpYRB3r3Sa+dqEWOj/ijsgvnmmOGr8cWkY18r0iRGKzW/Kr/FgC
Xw5VjR0kxtqyKQJDH+1WtmFcOvpslPxmixvIlnAQ9Qr8iTcyAoun3nuOupshtSt3pomJJzPHEvtJ
6b+MqTJI66nWHvDLz3IHrbDdpsLWl6YxyKrdJheXvX5av1h00O2kM+XXxrH/elwGOZX/G/R9NTXj
78LRy/Z/cjnHGlqL8iAWl4nm/0wdLAPoxP9M+P5/LCJariR6/n9XDf9X/Tvtv/7Htf/6/Wf4L+rh
P3/lv+RC4DCSnjo3cNHmQBEg2P1LLpT8Fb4Ukki0D3XGJVH8L73QCv7DQkb0SC16bJr/t1po2f/B
8Q9Wmn8cjBZ4e/8NsfDfsIgeAxE+T0LSAcAXgtL/DiKAJWNMFm/WrlcwlJ6ZZ/2XFY0Q50wTyAce
To4Yw4Lxy9qr2dHwnWPSTtz/R3j6VnDyX1RL1EpkcR/clnDhhsAp+DfkjOlOMjOWwI4aCxhw4S8K
JHcQH6eksnF3ZcGdlhKrMJasmN1q25DiJlpGrhfME/9TtjPwOvK1TKtfbkojY51CsWcdn2VhBeXv
ao60lK0QcUMqodV9SvQRH3DnFpEDffcxHXrCA51dH8Fe9FsDXxdA/qQkFdUX2Htcb4nqhC4mvknz
B2QYDwyvRPnLsfacJek11DIbw2fO379suJRYxz6W+quhX22rcuceKq1xoNCdgM2K8+HLdM3y4gr8
gpux4wKHmNadtRy3GSaNbyHG9bdF7veFEAB37kWwBCvm4ZpRWpVvSPYwIydz8z0yBRwVW++H1Bmt
k9lYdihpIL3F9cZrIkWMs9BeAHAhueJoB0WJo1LJ5JX5kHMwd6gid3JLflgqZr0rTfs1nXHJKiiu
RzazMdOOsDHGJ8aOv8XEGh7LsJnT/jAAubhLDDEfJ7BIuFLLXb3w8e6cTp1peSTvS0otatkyRp7q
4PEq9hi7xQN9EVNPESWsTF/czmzDILvRaRLiEHSauh+4vOOoX8Cpit40D+0gVn5r3XUtFmzj0pgv
SUXyUs3aeJ9n+mdyEMYH2yFl1jMuR13DXCjWfvrdVTkplaqoH53KF3AYpaEuc1v1pywRTsjIshs0
5pO0O/i1cfaRgHeJNigrNb0HYkGooGaBg3vlSmZXtU2QHsnFK+pgX4hl3AwDx4RDL+qBS05Yxysk
IJBkA+s/Rmm5wUuJc0UNdThXfXYQCJZhO/ZUsRXF+EGyZWSjgydwpWAAR65hfHsrNDR/qpf7Cn0z
DGaep4zHaodeWkStGKrbf5O/E2i1ewDvyftKxdNtpzUtl8RBoyqRfh5NekGuqkJUMFtjZU84aXhu
FGeTL3mgc5GoeKXWfZuM42NZunJfls76iAZLO9NqZDB1QPGjc2RXrABYq/DlRUxwUDewzpI/s52t
m3ZEwhBntpM3tgzubftW1kLw02RcqcuCktWg+ivg5UbWHFQvNO3CdgezzNqef7pKO3mYdLDeaaBD
x8Yd/X1dJ3Yk6gV8R1N5IC+MIADFY/p4xOM27BORHXpqVKIiWUy991xMxv+4uuyUcCd6IaTkXRuY
go1W07NUV0t1yFlFnrjTxBsltHzIBkM8TTigzXq4Rw5f98HU3JgIDniNsp4gwUnrkvjpQ8BHJoIv
82Aq7r0pNYqJWWPUtkT2g2Uj/VslSMIBeIatFazx3UI518Pqie4j4at/oF5Lnvppai81ru7jWk8u
yz9PPmBBMbedcuOnpHbEl9362Unm4IrGWamf3im7J77MPivdpv+F5JhvufODKUhkRX8Pk0tNn0Mi
i6PvuFt4mkjtsafUsndXciRhChVv2Qxtp3ZxWmBvYo/TEq8155pRkOWjYh4P097Id6j/9Cc3Pp1M
cZykW4uuoTG0O1OQZ1ETyoAl0GamLH4TMI4QNbJm3dpu0GB2Tkt+zgGMXRoRLV890kol0fjMoX8b
yMFsC2xeD3LsqxOHH0QDQa8a37RlPwCHOSFTp5+tVU/Tlls87zXKywgzMCh2azvXGIqwb4q7tC3c
E6Nu7ESiDf4sLHsTGD51F81qrE8+tYcfTkbJ5Jo31H9Oo8A+6XtyX7OKXqkjDtq/iOVLG8VrP/71
Bp8rAAvrD+CKpHJk81CnxnuHwEkUzrQ2gUUFsA+ZdMXNbUEjgxTEPcZcnU/qMSRb2jRpPpyK7oCA
pu9NYM5MqTO7/QWd7pja8VxCRLyVWo9dXDKhzgA7qnh29FHmyxTctVVsFX8wYw/qyWKR9IyvQOjd
2Brt18Cr8BWjIb01ZWpAXJIknuKGAzqysP3z9q7za5s7vcEhFTtvyTR9FDjkz4tPnoD0Mu2SUs4r
1poRtP0/+7Hl7fmn7UA8/bMkm0s1XQjZIv9ai+0+cRQO/nH28jJ/RHlrjiMZ0mfVd4wEFt3fIQ1D
tnuPK7L7m7DdMKM08+R7TUb1hyau5YjR1d0DxZJnoC6sCCrPgi9hm/nB8C1SzrmDdAorqnu2U/I0
9Y3xVhSlt58sjKzOYHTyiS1J91kRHH9y+Fo/kzbpDnltTDtUVfjC1N/4ErO7ry9ijcUBe1wSeZg9
d7MTexusYN7bgCHUfxgImeenqXgygsk/07pJaJJeZ9LCTdxuiQl25nsT9NknSpLC3Nhm6GpViRQZ
ZY1yf0lSefVDTjlHE41ZveYbsBhmVFq3qBhWHevRIgDP59bANje780fZt9arMGbxTCyyOgXWADxX
6OYhBij2WsuAPj1r4MIrJ/4RzFozClbd4z1GvaU02h7PlufQAxH4xqO72M3eItO9ree1oQRE2zs2
p9hT6PaaXnttgRAo8o46DVkX+p5Vpj1GkABx8a4pmHYsEiBI2NSpcE6SYzw0+jv1iOY2uFTfE8KH
F08kFe1YKR69yhFbUnn2lob0g11hfDAI4B9xU60ParxZ+LtgIPnBdYxZzN9rTUcxH9Wiok0D+N2o
z1w3DKfacJ2xiV/TjXYamjw9Mc5QWm/TmfLC2CBfKC1OqftsOd/3OHOsa4HsST+y5FFYccts8170
T/yqnZsv2R4lHKpR5dahLJGvZpTBKG2g0oX10A8fbSyJMOTugpvLHncx/a0cR4Ie4Q47HBzOch83
a/Iw4a7fjQ7PqJP2/p2kmhrfMUIkbp7W+YM2r/v6Q5rqK3Y9otTFyfY++mkWNhdn4DGONoZv5stm
N1puS3iYOPm7kS7dtewJcIsC5QY4g/Tvb80hK6K3knk4FMHeNwqaG4tbIDJGL8vxV+3RW/0QEPDU
3VMGzI3ZVRYkOEz6GlFmuZKlsQleNqtLg1U1XVOXjcWG2Fh+zshzvkyK26ZNV8eejEV5zClEJ06U
CjpA2mb5M+HY9NiYEn/0xyAOa+IeWRjkgyeArgjZbjHfNlXUVD6wP10PZh7jW4VTiusOE7I/6Axe
QsvaJ+bafWDp4xzXpm93kgjDHUtQ8z7HMooOSb2KbrjNnrBJG2E+W158CHA3lofcz+sbUA6rrrW6
B37L81ZOlnEgfm99qyERV2e2B+bqYTGf+dqkdLCmCukg1Vkc9mMcITJOpyIJYJr4O0FbasTQ0+6T
uMbL47o0tqnS+FrneBz2mBeMk5/nX50wAposPW7/y2qXf1TtoabxVeT0H6H29LQB4MFZ4iUkTlFf
PGALZAIn8w0LcnDlgOvOjTk75wB7MCklW+2AYvFM6Cb+61JsHBWW8B60m90iSZ66sTDQ6MiCG2+G
JKwM5icG5BG0tbnHQYoPEqv20zpL52Zot8V9H6OzZcGqv1y62B8XvuJ7OzEAI40UfVcWXiNVDn96
RJ0tMj/2bdKJnJxJzNC5WqQZZiKeDAXZLM6Cn1CES4GdIb741xZYciQ5aGA+dHlUZbF3WdIyfbNU
f9+xadxRvjPsQTUiUg1cbu5uQcGzLHqPD4ldIrtyxwgD8g9HQAXLI607tL2VNcyY8lXa1R+Ylg/j
5INqsVLWULowd3AM5qOR+ZxMkB4az2Nfbo3rQ9l11c+09OqhYfqipidO7tK1SA/YueaTZ30XuMXH
cXSAzbBETPRyEIaTcpciULKkS7WzOJAoav4HJIbW7APticuWWM+mSY86c0/pIunpTc7FmslL4iXW
mRQ87gKwZ9irW7cNS2tifaCr3/7cJdZmmOaXlpdp57AG2kp/abdmV2Qh2ITiMVmYaOOeoIs/KufR
sSr/NJntFI0W3lLP8LM9JvL8rJZb4bpoeosRFKAVj6G79ci4RoYmC9W4+hDTsrknN3Ei40i8e74Z
8/eU+fBML9u5dsnDWUF2ohYq3/Z2rs+97Zrhgn+Nexai3NHyKmuXkxAigu/SIALC2Qnpyz44WXfo
MNsQ5Zj8rWtLQnUyL4/xWvH9myZ+1DHIJQgpC22qVFye06QLPky3dfY0B1vvJN6dbdAl5anVq0LR
t5JLSbowcudgwgyd27/ojhLvOALbJybg/EhEh7h2Hd+C7q3xZE0KuPPaFXwrXTCgBCDSu37M00ta
dWtkMrT9QGHiCm21wJ+dsfktwCTBBhnvdJefIZW54WLG36bm7BPLdiWlBmHGeKGYhDqcZZKbdg6G
g7GU3lHbKrjMcg6eabQewzrpcgL1DLCTVwucRZYfkgG/M1M2axZsLkk6PhUOt0izesonXTAn1P0X
qHcnrOhi3zpc8Y+DsA90WhknU2RVVFvzeH/zxZ68oHhyqeRyfaidttPfN6iupr4oKpZX7KL2KD+L
dH6oZ5PAeaqfKVrcgXd4Wqr+EBfW7ViSwIOsm0G06t/7JPioKlLmU/bVI2xsy77oCPjUlKJoVR3I
OvBhn0V95xSzzXMMTSDwi7PvphVIWGc9w0AwIs/1y0PFetpZimYLj7o8xGadHeexTPZiUs+moFvA
X2rs1PRThiulWwUPRyOPJnrlAZh+8SPsvKGmyqMNKptrGeaKb6RtGgeyDOKmmZv7JKhiImVefL4h
1CJqJwfstNz00clz7y5LiCX42gvhBE3HHqfEPvOOlgIPW9mHVdAzjA7svratN96Zjides5xw6qYH
Lxa59sLBWFQVC+UiXny19XPl7lYAEW/GHJShL7iirPKmz69Be6Y6bnpmz3gtWDLnqJhbn04ukDun
ser+1NrtL2yujYoUDjF9PvAnsyXCSjRth8TUHnOfVFaHLze0i365rDZFqNKzzR/B7w+DuSrGrUc3
zAcOnu44UTp31ap2d7E5WYBgCYonJT7zTps7LKhQnmKTb17zIaRhPk3UcnPD0cHyWMEDBDtuyH43
ulQ3zVl9Q5uY/NGThCLyPQfRTOyTcCy5ESJmNGa2ciZ4FPvwyJtLQqJfr9YfR2BiGlbvFATP2mS9
norrkpXHasy+50T9YVMjBSujhkHc7sgAuzLpDgN88R3HprGd3ZJskm2YUWNU870qJotbtpEdOLkO
heUeLG/AIT+FM75SolnVgdwsL5RXRZy2f+Rs3xu1G+wHbz24hnV2STPgQVh23TR9KntOCDUKURw7
joPn3jKXe+T8TyVsOmsb401kgftQ5Xr8MlwBOZVIdI2/C9Gjhy7RcRtjRDGedSAujYC8kpPx9di3
3nU2US+oFR98wJONNDv3TRCvwykslxA6w1vlSWDK0u+3a5/umKG3fVtsqcP6o0yI7xNH8ybwoB8A
52BnVsm/hcduIs2OVaFBWVUvHZXym4IWt6xjSdtxgO+quBWIG/uyXj6MFjKvj00jyuaY0sYSF+Uz
l+xhVzrZJY+nbB9Y43XuS0Y9Oguv6SBeczqatp4muWOxbTvZFooRrGi1EUO2012W4RC3S6Q8y7nX
JG5Cn/0oVKo8Dl2Y2myKI9k3Tb91renkFHdGYJ7bOct4Hetn6ojxltWnOBhY5QzqXq6B7sMBo1eo
Gqt6SbpGf5DtPtFFybqPC8emavUBRq/ej21mQ1LRS3PMqDzcGaQAj4aV2oeC4Py1W6fkV1JYPVsH
8cWV/0X05Xa+2u1GWd1vFvbJC51azZFwbXxMUYaiWk93BgyHTS3luiP64B8cu8y5m6iHpEJuUapp
34SVr4cixw/PdsoXbNTafFOPE3XR7dLe2R6KGdeGeDd5q3xe0zljB7myCFkdjZZpy+4oZa7CHrIO
O2F9Z9yoLcGca35QZrJv7TiLPNtbcBG1InudXO3c85xFtlruFgn8jn5YFsu5iep1pPLbj/i1w8cw
OMYRzGIWNcJcQv6d3g90DhDFAbm6OH+GY5DuPUAne2ojizejRvnu3P6qqG/c5BmgLIhWcYjJlGQo
5zxzMu2seerceM7tE0WIIPyZE5bVc0BHGF19XFt4YRiePt2GvuCFr/hRAuu5lKYNhmpKDSRikGKk
qRJ+ZodZC//OSyhX3aALtV5IsKsIY4EIldYpClXn/vaQurDwLPa1lrl+hK/ZWSF7Qq7DpkdR5qh3
8GGSd/Jyxd3gN/WpFpRSRUOWY4Qy4qFmjb1oUjtwmn71+Tzux0K4u4ZJk4GqUGEFdCHMVrPPYYfi
tee7sJQWwVtvSu4muZypCzfeYpsQYt5y9YgGNlgvgetCeKN7Dwpp2VT5nR4Yyby4tQ4Es0yKaBPM
BcRVCGfpRXr3HuA/ivuG7sAvEZGJr+GOu7z9lgWli0lKdn+HtGV0jJ3hbu65MGHjNB9BkCUPhmRZ
3KV9vodcwwBkyc7Cm6A4eae2cu/MaQx7hj9BY0a/yVEp7rAf2s+qspNTudj2Cx/++kHJm9GK+F5N
G1vX7W3g291O3xa/oKda4idp13L0kYpYnI6kgNsplLBmsdMvX/K9oP1qLl5ty7+oANS3t8z1Ne8a
aJva+RNTUfBtCqtJQ9sX8e+4zKoXxpDPPHCx+RT9o62GFzsgdzzdBC+1zodxpea0YHY+a23yuLoI
X76sp4M21vqrdTPv4LdOvqWryIxY9PEUIQ+yeC7Wq6kmTLBmOZY3cCyyWWGPvFoOAp1UXClInDYY
Ue/9QgDM67S3H9PxdVpS+uvs/h0nSLelcL7eF7Yr79cxyZ4WY+h+OYlvAM6KvXkvXOV0W+WIdAMd
ew/p4yWlh/lIqJpxR+GZ9dWZjFDOB0/np8X2/maM/xsBsjMskKD4EmigT5PygxerrDhMBnLHkIkA
scs1vipvvcpEBo+pR/rHmsp214z2T536PIxuJi66YjbGoS2I9i7G160HPIqb4FcwWv4BTiDERNd3
KLMnqEjLJYydCkfiEWe3deDU5WpsnzKmpte8tICKWjx+ZEiTE/gU48DFDkBNXz6OmTQ2msUUFqLx
zmJQH3w4d2JFlYwmUn1HmLDG/bToW62585K2kn9dUbFe6XEOpVAMQkUN5nIzsIuy3Y6WeDDWzryz
cBlAI3Dzk+UTf7KKIkAZksV5rPWTZfe8nH0NsINk7MmOg2dawZxzWtfPJi/RxnTnHdTTINJj+dKU
+f0yghuAjwhzmp53a7MWludtXUwcBxhy4w5fDMskHAv81sdg4ps8A3w6B6SAb+jV3uFhptyBF4gP
shX07esSGPJ343qollRsQ0bsAZYG7nBseAzDxW8xzy5r0cKfqPPLmA7xtV/X9bSM0r8ANSy3RZu/
uol8lLBFd8oJviBanEsqUn3U7r3jDoyCi3gMmIvOWUqxdQcSq+rfFpV/YP5GaKXXfNs1HjW4j8BK
03BlwfLcuwLmkNGUT8Js+nM3NHQpJzJ9c+1cgn2aGWn0AJaX1lLsF17Ypa0T4QU09tUYwBx51Oya
Lgnwv1POu/ZV6RigRum1jN1jj/aiXN6ApHbvLGWzF+scktM+cJ9kcvxQA6K1IAsBgMFHvfcxCXNb
YVoA679wnFQlUXbTdUwkR0kyvqsCfox+Zb8RxccV5CnaKH1d1t8WWgPvDz3Jd/xD8xOxxldwC3sE
QnvX8H27UFeRe1tj0sbPitsv4jycH7N5nY4J8Jgbvm40P7COGC/c+wXVoJb7puty2mo09jQsVDo8
8F0YcNwBJ/4ldTD90AnJvQ7RIJhYChWFu56HGjA16q2j3txxAMhlaF7jpeCHwI4J8C1RvnzZrGPG
mIkvMHgpLTkcU91QQFT15vQ5m577qlIrrfelh05VE32sUTIdp2EatMuHxPUN6m1KjQVvTYgM80eS
Oe2WwpGbeWPuj6yjGONqZWc7btRYyVQFylk2LVQSzyZ6G8Ao+si9+iclvYY5e/zhWo77p8uaPDQ7
+6dk4GPhtiJYbYwcSWRQpn+ebKKY7P/4T6jaergsskkZKU33o84L3iX+sjlcDCGHb1HaGd2pdtzs
WjW5v3MG8t06OfLox4m8sGXV9wAvCH5N7IR7AEC7NivdRyUdvmipd4vYdx4/PZVKcTCMuGf/RFtQ
7rP2QemqN4yK0x/+dNSuHjVIVUxTByBxT3hsWEOWsVVvc6K7pApAWo6G1M8oa+kOUDh4JvBQWx8k
GM7FQkLLXbC7J6EndRp64Lu/m6YbJyilpM8GoyTZPZKws1FlD54uxUM5GwWcmdinTYIsKuAeyVQJ
9ZEWF4+DT2dgnSnRBuOwJWL6VZMjh90S51ce/C5ajUAdocbaD4TgvoIBRW+TMdNuMD5/Oi2lpIOT
dAAu1ivRX0KmbRVslEntZZzaNCaN1QrJ7wPbYDGQ2xc2nITMw/2tOus1wQgIxK/fBxkRahrNzRAL
bh+pnPQyoRwPP3kPTtDl1uGt/YFbIJZ4QAdPqjX51iv5S8djukR57XcgUqf+kvuIXxoJ7Mkh8V4S
MHSdF5ZNK5zIPH6c6znbgSbSn/Fo/SlXRIciiJ2Huu+rN2JNfBEL4kteEGSPag7EnnwOsLMe7222
YYuC15v2quB8iyNw6yjy/CVV5vgEkaSqAE1mCYlk28zObgC3mGupY2Gy4kx2C28br0I/66WwDpmr
pr2jAy5o1JyyQTwuTsPqVEzkZjipPS4ekQd/cNtiCIAo1ZmkFmnB0goHljNOgGTA3YV5Nk9R47Yv
3MyYUkan3/uAPy/5nE+7agExthT2L/Zv8ZlBBNQH0+S26rjQLFklzy6R+O2U52UE5mG6wE503z1j
jarEnHd5JpbDMI7eoWjb/tyuGCvpHDaf0tme9iwZkDnHdsbHyNTS7cd6jp/TSct75Ep+KzlLQRy4
AGN4Hq/8qVIVLZ2lhXGK14ntWq2xjcOU3aYtwMF61d7fZamrcs/2hTsgWzdNpUsA0NJZeXrQUl+S
1VEPQrVX4wYsQM27dHqUR6rqc7q2pNsAlUkQ4zrTXfkb+gn6TWsV24BaHdpJwHfNkpWK1wj1u8Q6
AIOjjA8iKfn3NUNr7y0GhbNj6kNZLeMXeWTIssFkQJJK3Dp74+f7a7G7fK8RETi62KvjurW4tuk4
lPnwYeJR3KdOBhdktlLAFQ4yHeIO+zszdBzyt5tVKBnNhWSl2FvTeVmhs/tdrT5JOSzXfOF8hBeB
/zjlYtCL5uzVLlCwVrocNuzMmf8JuWVPI63CyMX5IEBQ8IUeG/PKrmGXzTy/lbu8WqCOfuM8zF6G
oPd+s4EL7lxlnTKVC9pp+thGLQKxgocts8CPaKP5MFjIPjRWh9u7ri2eCssIzUK0v+YgB9Gp46mw
yY1LpGBmhh80UG4eWKkfEtsUEcYgiK5+DRVdCH0EfR/QVKAd85xUlBTrfGTBZBB1q0fjkwBV/yvA
YiuhUk2QOHv6E7nHu/lPjFjJNcGZ5Z6kQX7AswNWrFHdO8LQZ5au37MmhpDDBn0VNiXnWedS2cxx
mn1Y3D/fxwXQKF8hcznMPXM6dw2Icrl5g+FzZwmTIIPJU+j60V+qFYqZLx9GegAiuy3nwwp1EiCO
8MedBU/a2dUtTDHsjnlMZG4eje1COeg/LjgFssRu9fpHNl5QULMGXCqAUn2AKBewyjD8vdFp+7Fx
zOnOM9i8jnyPnjB5GFjz3SxkaNfX0sXtb49j8pGOtXjtipEaIwPXCtseEzOH4cDzVTd93Ch66x4u
DrqT2Vc+C69x2M59ETaZi5mIVo8pyuoFoX3K4AfSqBeS/bDvTFXW27G2b2bXVdpt2PheHlKUAiHJ
G/7mZAdgKmIVJqCJnaEvyjWyhfXioe1vM9MK9pKvacR+t7ozSvvqTvW6GwDzb2x39e6pRofWlGn9
PZWig/bjz/6jw/K754oE0taEzPLEkjZ4pnNHX1lgy2/ipvXZWG5BtdqcTnnvLaTPE1yqokn9Z2dh
y0jx8gcYAoGNXfXrRWS62OGk6fccpfhdskU9KLuCWimLO83MdcjpZQ+d2X/rKhgthE0zRkmy168d
fp3rPGkX16dy8jfdrewIDH/F3JRN7bYV66XngdjWBZgAooPecUiLPeh9YE8VyYgq9v1T7rr3bVxU
oRKVf6ibpT6iZcBQBO/FG6HnEx1b6+Oa9+ibvUc+IvYX8yOue1wfQoh3UptP4KVfCV7O17SHnerF
3OKKnrRQNbtpWOn8MWVPmOGGOlCBxfsTBAs1XS3Ka6nr+6KBNlH3xVEwzj6SS0I34BJ1By4GyzeX
J3FpvaA5oPv9+EP74pjLOaHbgknMPdVdxdLG9BN1yGNtfhDL9HZDWQXg8p3q1VIeH66RnfSxzuuT
1Uh1RhPAE+K4RBstu3sroQhdfDpZ8Qvb3S1KSFcly4fh9kk3OiJJkFeTLskPGIyxddxYMJXZtbsZ
ziMsL7XYJmiQG6bEMctHPtMTzByn0BEnR7NjJ2melT39aXsLrWdIaEbNZqQ94IvtPd8td4v/aznh
J3DYTif6ZSLgd+/X8Xy4YViesFiWEaEvJKnAqp+IrPZPM30bwLyq9nMpp5wEkdLTWVe4XtPA8v9K
LeK3acBlntKZU6FIx13Bm792D6yXgvca1l1I4weqQUpBTQHFJXJBXh3z2W2OVerZj1Yms3tRDwjl
a3rjUM1ivKINpD/lzD6ZXFANJBUhEruDJc84+p0Pq5g137N1QDXU7lmtS9Bvl0KX+LYy9gmuE/x0
ceCcGFSSH0RCZoj8JkWJLn/MuISDyu6Ve/LHj5sURNgYV9YmaMzxc42l/Ya6kX3iT1sf0DZElATw
pFZ80X9Sw7GeFqzlR0AO5Uucx2nEWoDrPfRnen9a79k1LXOfqo5EGlnfpylhfb5tHVWexjQv/jaW
mJ5rjlcWM0v8AIrkFttsQYVUY+5EBj2aJwXlb9cNnDVcnmvzWpbL/InMIi+srMrIBxpZ8Mg7A9HC
znmuFBdwo1mK56IxvvOBII/sOT9VGZ/SRA+sc9z+Iem09eXWE7JiwTsDamiE7OVlBsagvsJiswID
K3JjgzwzPcE6YgC0Z9WHZQ1jfu0RMujCm4Fp2dZfO/fjMw6dtt60hgKKt0D/vkqGgx3LOBDghFP2
c99VPLZc9bk6oxawjbKf5maIn/IgaKIEI8BLHWfPnK7MPC53aY5fcegrut7cOS3OQ3ELUM20Oywj
fdUUUUBeoYq0h6elivcgbxfEaMAgH5PjobkFZT4jO6Bvr/hq+ERlRrHzYAmcB1uuX3Wbyb0PUXw7
jJXYBlw5t0HecVyx63tGDRsPrkvCfV5v2ntrquEv5ppl6zfJf7J3JruRI+mWfpVGrS8THIykEeha
tM+j5K5Z2hAKKcR5No5P3x+VhVuRWfdWoYDeNLo3BWRmKTzc5TT7h3O+Y99PsD333dimBHDgZ6bp
8g4YWR1mGmxieFTJyBCEMI9d4zJXGB3CT5HlRXwt2WAD1SFs+ppNhkIZp7pN6/lyg5qMmjOI4G2w
urlvuqGkY27sHW5Nk65KGj2Bp+zevybNsbkppvwxCfkMHNFYxM46xb7oev+mjtv6Fr5acghnimuA
+ZVZviskH7nxkwNHOwMIaPCtpJokhSJNOYP+A61YHMdmOm7Crrdxycjip10V/nqw/fQ1VSPpt4QC
Ro9Oyv7DRn116XI/fku8pruxLZYuzGkRwyYdkSWQA/Lrtwj8/2UhPI++a3rI0/97MTwpkkX9nv3K
0ADa+Lcf+10J71m/CaLM2A1Da5o17b/L4D3zN9NlHCpcCBm4dqxfspYFPzFTdHWdLt1gjvef2AzT
+I2QVoT1upQGP0uW4b+jhJ/Duf5OzYDMIYQkeZTIMNcw5qPuj+FdA0d/zha32+UdPYsNxWnb2yTy
1LFxY9WNt4/87jUuSOiy2ciZvuOfAzuzFr98ZJffX+/XHFS0h//F38PEj2e7Lms/5885aZYXaIVR
+N3OSZp0hw5vI6xkg+LSaU9heBRoAJyLn83KakKGx3myhi7sHIfQaaraemgrF8zubmqeYNBZen60
YqxzkVSgyJRc9Y57LA02s32HKs5W1xHNKPkG4OtKR1/p7WPfxIRsMhP10bZnzWVIhts+8Q+mRVoD
smi/yZ5Fxjw+xnoUQ7dtI6tmHR+8C8aMQDUh6qL1HMqFHtTomnihFZf0KLAvsZApH6yRdYU/Ioiy
Liz7caQL5lt8sA2a95fQQRrC1cMYNgAWNjinLkcQYYfBcjTPhVYgRaKhkM9aMkFni+8rpzmQN7kz
LfeQh8xUwFLobnU/DParVCmQsiG58YSg5Aw6tLKikDuiYp69IrsBlXRwBvtnEUY7qb9pjf4IE3QR
KPfMPXRHBPQWD9HaGLRVb0KiN3H4Lx3PhKOZrNmQ/MCH/BlVlrNrJ4vdceJ8maiA941thvuMtfiu
StpqxRjjqIz+rMm2QeMeEl5lmEtrdO5RHeJcv2sIhyCgHAe06O+rIbgYutiwN435tLAHs6mEa7dS
Tn+oYusxk7iOdU0snOa+yocvAmL2Q6O/To0gI0z3gMGVLwEjj9GOjvRp9iYbqDR91Iyu98jXi4Xo
Bt8twkvEJquB9mHUu5tA8198Qpg6ytUaevRicNtH5GIrw/gssuym0bsjnUu8FDjiC2R+C0PhD6tp
5hHBrbxBvcXA5UyhpoU+pC/QzxaI6R+jDFwL4/fPomLdy+phVSCQn/UH6yxWH7qC0OfrPl6p8aDo
TUALYq0Pn+PMeBDZs1vX0y0EhOS5mzJuVnH1h65jGAtSoHaCfo+pbOV2CS2zR3OT71SYvMAP/plo
xXmcbkv7sRH03UalRQuzZJukXMSb/US0Qfws4F/ssE+tqBEvk++euoHVimNvOtu6FeO1liW+MWbi
NSo15OEFwTzNrm2NYAWX46IGP10HsdqB/YEPrQZ7RWp7spPhpQuMU84sr/b2Tc4ABqbwLEW+RLTi
i8AfnssJxXLi/IDDPFvRaVM1oz5XnlHz5CQpNhBrzSqASir6YacS/9gFhtCyL40rUooVZIVNqk9P
usx2HaM5sut7AqGdZ40JNxXHlq+GCwjQzPYWBLNFZ+jtEjPqTcE4IDTd29ycIOSbBBa07mvkOFDt
EPc7EyD80drA6791zWZrgirMJ+keOwLxsGd8OJ24GD7hWSIwsW+3Pdhh+xZeD2BU740k933U2p+g
iPZUKNcRzCRoyyLDqJ+DUdH7EwEv8aZwB4SQdXwXUBYsJ1+/DcheR49zqZm26Y3OJw+bIGAhJsvo
nEV5v8K8ShVXd4B55zbOsS94Pq5gGavFmJcP4Im2XegD67VD9F5N+YPcmpUYnaeMHbnDv1iZMa0k
9s4V4Sc0OTVJGfWtn6vXdszKHVJntPWufJr68Z5tDGRN7zy46lggwCNk4UFHYAhJ4JXQwTdTMfot
/JM+tq80HM/J6Gbs33kfrJFGrVjX3bieXHy5o9DuPMnHkxkVjXd+YJYNcyxBy10x/2OWXMc7V/Z7
1Bk707S2U11+WUm2xWfxLoFZoJH192SFmecKdyKCHLaURiV/4rJ6oreF65CIddUj16COn73RANes
KFlgHt/JyXsHIooDuWEs4ynocg6ANTPWHs3CYmE7UuTV9Q18vefKy3+MrlsRigFjRM+a9zhxeTAy
CkLVv3aef8k1+aCRTsWy9WYymcY2bEK2TZ2czSLYTwF8BoCHjCmCdGVEzWniY9V8/5x0LLES5tgC
c/eCfMZ4zpSS4BkDmyGUv7b05Mijt1dGm6+Z9V/qko6c3EpS6GLtLHQb4mwQfdZFuW2m9A6bJXpL
BNhN2m4rl+9DLfkkiYZxXBaz1h5pwaFvemJlDk6o4OPJaFfgLtBHH0Ul4pXk0UeiGamZC0vAGGhW
SshkoRf+RoX+tqydVVm8hU1+w1bnuauN/ZB6QBvFsW/Uru/KDWPVleF12CQkkp8IuHkSK8rX+8rv
V5USAPqgpatnXA7IglIkXw0JIQaJYurW7LtdMjHgcr1tpPxkZTf+btLCaTV09YPjq/c6Ia44xO19
cOpn6YFLStuF02No8cxdn7asFU/DZLG6z9jx5/VVm6zzOHBylQPCgJhHXrPdiz2EP0umAcyYC1e/
DYevDOyjbjubmMCMWre+lF/AoWrxCKeMQeFId330hY7kMwzEreWoG8upd+TjPehjvybFBat07b3I
GMlR+0WI4YzfukxMrRu7vgGYzENYvPCIPFUjto30rZPJK5ikt0CbddHxqdXbWzd2mPjAdzb98Gxz
aAH9vdZNcXB71i4eW9Qyu63sjJAbLV2NmvjhudVNh8C8GMYzpu4Mtz2aZo8NLwDl3mjf26l9CWN4
WTZSFCP+mOr8R/aNFT1LgAQ58ARSDG3MG+W5QW2epbRbsVz09HHZweJQQKwpOJbbaRWqbClUu1ZD
tu2t8xRjjmCzpXvRz052ayvFVY4dhW+z2jrDKu0YsYWJfi4CBGapV50CkVzrnISXybnDgrUMg24R
Zeo1POfpyWweY5GsrErbEIdxA0VtB00XvFkXPbmRi15yMtd5yNuKLy4T7dbdpkO/K7LmU3jDMYSX
jJrSQT56EplpLJwBIwr06qBJj+hp0Lo5T8xZf3hV668VM54FrPwnCJeQphM1YRfKHplIiGs/ecbS
CRu5MHSI0E5RRNsCN1BPTlwCLTxRJjHxwr7AgX8N4vHD9Nvnpku3gJ6BRoj6qU5m11f8FLtkRaCy
IhxjG8BHdSZmNMQZcvDCnlpadnZXQWIC7AgfEfcc0lwzONO9ecs+HE6ex1cdwKTXf6UhxOjoqirv
0GfexVfRbdwctGjEBuAuh7thQgjWbELi6whSwZxq1sMqCUPuD+hIenvXchXBVgOK028n7zFwzeeg
1++iVuc8kNsoeEiiZKsse4c3ET8hJNC6PSEAuXbGJbP4AsE8mqI3TWcaXZGhhyUEIPaPvlc7lHKn
qJzTduABDR48/75yvrz8KeTZJI/iMCNy4roAQEMjUZKKqE6RQa+PH9zp2bAJ9R6xIdJ1r13Zs+BM
Uj+0mvucKBwlY/VUTQQDEGLTmkfMIEuWdIqLljG37xyqzLlHANbZa4g1glBNcs09bF+ARGBGPAa6
qy3zLo4OnpudoFrNpWUzHVw/T86ldLIPzYYnlwdTsfd9C8eYXnvqhYlV8VSpCSETC6oZ9zR+AYWQ
FyzikvGo1X12PagxkXi4DuyY3mFyQPBAaGNQZA9somz9w8khG0iL9RJoOpttP7uOnWeiqSpcgkVT
I/PusJHySWoqfMuohndpVOLbiTXbWKsyIDGRvPQWey2mwZSkxnxII8TQY7Aj4EH/yUvKD9Japx9a
BhWQXYfa+nps3BdObW0MhuC38EHrg57H2VHX3Pqefo/6mMJsgB+TN9cqS6wHUqpn0G/F3RKH/V43
mvJYdCLYt9pobpAScsdN2rBCLy33QaWZyYKodm+Lyq0650WM5SgiS2QgqW2veWVzNnPXP6R12xy8
1gV9kzDcI2zF43MvnPKsBBYB7LfnQpoQmLAsxveFVC6haPr4AZa2IuDH8TeBg1cFSFrxOljMzmP4
vY80Ojw/sgmyHzJ22hc2CTaphV0Y34pO2Q+2F4d3HsK2a9N75Y3R1/ZdJ2IgUoUXHkfx1MGpQ6/L
pnVSw51fGOJRE2LsiMoagTNLrUeuyJJWTEN6RWPSwtwGFT5yYRI7hu4oK1p5xGE9/IgZ4VxY3jPh
NFRDFoQR77MIJJwAx0cIUsSElenexhhJnIVJA7nVAuDGTgWgom9Cihcx8bZhUG6zucGe8dIjSVa+
uYCDgIDbYgtptVhiMBhlb5ikzZtyaK2dwCl01LA3caaQzpSl0aUY3gY0JBi4iTVU6XhrmiM3Kbi+
7r7hmzka8N5HcioKA7djNX3YaUzCG1BoG5Zy9wCD8VHmAJmr5NVhlC7sbB+yiBUTQzKhoh27+GOF
uQcjDJgHl/xLpucrQaK4PXL/6u5LryEcHmN9Rsd+OimXmRm/owOCZ84ChwAm5t4kUhOug87PxjNQ
Ipe6kYHQt6TRPxOF+0C61D7S5U0q2pUwpmUYW/yN222X3Jh6/WQYKKdLrXmZppApJdEYa/YLD53o
Hn3NIBURMaLGSRSF4MUHbR/I8VayiN6XOOpWtmYiG88JvoQtfYvkmqUfkdUFwXQstc9V1DebIqYo
bwjnaE2x6RAO5Y1mrlANts9tSMRG0RwB5SwiT26CNP9CT/H4z4cd1kxT+GXoIgWmTzK6bHpNG8CW
7v1p6OLImIrJdvqdkz7T5kfHaWiH26EvcVkb6Xggv7i6GYpgunI+hXd95NgP5BjACCFVA2Ak8qQX
mXTZD/f7UUnmp2acnx97fpLC+ZlK5qermp8z4/uJm589BtvJPdJ7BigFj2Y7P6NyflrH+blN5yfY
/36Yh8BqDgTAaofA51kf56cem0lJU1cE6yybqnOGThdUV8+6yg98uY/9ZFzlRu1fTMs2N+V8thjz
KTPN503gc/LoCpdQJXrrwbVHziWjoT4PiGe71+OiudeLJjtKSCmHcqrVbTDRjcELM+5N3+bMm08/
Zz4H7flE1ILC+IkwNtjVo4rQ7CKILqsQ/st8mLbzuaoh3l9n34dtm3r9bkxk+JaX1BmlPnp3Ik68
dWiZyVNnhTQMfc/xjXHFOVZjH16FVxC9Dg9lDb5zaZUxl/z3JYCa0tiS7pWsm/mO8OfbopjvjTjy
xi99vkvq+VZhnlM8GfNNo31fOvw2iz0aLg9mKneSnG+nZr6nfDfF2zMUp2K+w8L5NjO41mD5seKQ
UzN9MiQ8Qo73YMig4nvq60x/ARShQIpHqfk82i5Draw1x9feGwKeGkvGcL4ZQJE47a2BJIAVyyjg
mIGbC4vFmtuk+U0YhhFLYDO8KTu+eVZabUqatp2jhR5ohNr130Vmt8WukDrkVB2T56axdbcmuuv7
FS10Qks3k43LPU2GKF+mPAyXDeubS5HHzrusTPOYxRwSW4c8ywqXlKBSABqZI9R3iHa29PLK4hfP
XqmTeEYoqUVdQrcAMUFjGddlMDNjxWoQPw97s6q6C+k2d70mXuucUU4L12YbTdSVONGeoHhhjxiH
taf5D3FcPaQKyafWx/Vq0vLsptdztZY07D9pYp41qdtnq8Vn35TisYsoPTvNRJ9LaA4nbChRzwfp
newd7SRZx5JLR1YTVProwdXRtTmqiQ+h4zxERvwgWb8e48pLEFlSZreZfggsAyV5Fw7hxhk6ih6F
Z7KzHEJJdGYlRoQGBFl0Wk0hVXHSrk1jPLG10sH183/v+WJAcupeEDIUhxzG8iZHRLVMkJttq5Gt
itF5IM4nwZKkAHiU92waEU5vGKYyVtHr97TVr9SFcLecgX2HgYO6GJ4K9sP3vVbSjsk03Iq27STy
uaQ4haQnrVKYw1tF/g8uDsMg+MYpN9Kd0HKKrtl0My+2kMw1cdjSgQWkD7Gzeuvzzt2PRhK9RFP+
RgAJFYRd1ojlpNpmnlVvibJp+VqxX2bNNCxrg+AWVcICHf0J7j97KiLObLCLmHIoLUqddv5iVyMa
R4uKaQxp+UMwWk+Fr/gNj3St/twPEBH9wM+B4yLEl2vXtMQj5LP8WCjbB2fkwdHg2j0XvvtplE32
kJjIfuTAgaIRekoX8xXD8AwzB1ejEbkLguHFDahQfFcOnx1Iqs/Go6ZI44arvWrIBZly/PJj9GMc
zZc+fSXQ8KzYDTvKZIGUu5fJKACuJPmX00x3I8tlSmHYBSzEiNDUpAvvBSPsTUPux8qKORwNncYD
nByXVSHq+84w9UcWdw3dq/ExFAhO7Cp+dOt0Z9QcXGTT9nTGiKScwAhPgWsdWZHjprF4voaaSwLW
UrRiIH3T+TYmptYtql2kugKfvhbuAiRUL7Gcm8zAGjcTMH9+rnFZrsWqm958FBUryxPhEninthQ2
Qy9XxeU7XBBrHxAUegyRyexTxVLTL1x16Ro/v9i+NvzwOX+O7M/d3TBXVN1cW5GF2t5Yc70FE4XK
a67BTE25ew1m2Mr/rs44ccWjnEu2ei7eWj7x74v3//SC6ozmA9Dol/qf85/8UZRjjSdZfW9Z/v5P
/xdB4Wc0+i8lyupdvf+Pn7mK1Hjznv3861/+V9P8cYH1+w/8bXnl/KYblomygbWMA8OdYub3/ZX0
fnNtjz/bEQJb8Pd/+RvGyXR/8xzXJpPF4YcNabFCa5Beh3/9iyl+M0woTgSHu7ZtsXX6d/ZXjmH+
qZbyaBp5JdwNnit4LdZr5cf7XZQHzV//YvwH8OBeD7XG2vnhVPRM4LXQWLdAkAloh9E5X0pTepGR
z83keZbMqVNHhdiSb3O2DL9vsvr7VpvmC47sde466/veG7TWZzIw34kMorg+DUCsozFzNjTEKAfB
aCrl4OShFV4X7Z08WMd23lxElJtX2mTkgXgA0Uhq+WkwvWhPehPWSlPcS1E2Sz7BcauXRr0qYCGc
satvGlmuYtHHayrIgwtIzy3bdjXVPYuwEXGtOe/Vp1pCzsYHsRJJCzTGxiNcVN7ZJ5HqpgODtxUT
pY4RRUfIcXIV49CH49F4G0IFPzln7WXfNR/ADOQ2KSMJK9SeFu3gj3vs9Oo6Ef1ITrsefnqEUSzT
0SBuxVDv7qDJne7q9QYeKjFEHq8pI+en37nGjaqGz6nF36gPIyqXWLtxKhdr0sQ8JtxrgbVSmf88
VNYRkeeJWLeVGttDJoxtFOqgPtxK+2BHRfz4YH2mKeNOAe8pcUZiDMdiaVI2Bh6eB3wd09pOcMwT
BF1gbYufCbEd2PG4L06sn+LaAHLprhiC1suoHeAkBpVcyVbrjoybahR8xiHLCoD6kdgCPKIRSNUl
qef5xjQ02VqA3tr1pfgx9pyPxHjq14kFKrEnNnCEWrRvWWOCmSHuJWA0RF54iAnwkrQWugCjFx91
3WrbtK3kbZYF7hHyzvhFIQjFUURWhfiSCHWM8v2pDpNb3SijL1EDsoXUwj0wh3KTk83WP0rVZ5lA
m0YDcGcwGEpa5nNGYCD0mLTaukVz5qMYkJeEYQMrzumOOuCauPpWC3ruoCzq98Cao2NUKQcpVOKb
F4A/1Qxu/4BgPmy4AN4yq+3Ojevs6Z0mnXiqJrlz3ZZpFYb646BL9OcOOIK47LHFWWBZRT4eVeLe
Gpqw71TQNMaJbKaYcQye5GqVj1qE01AkWbtRGRK2JSHNAZ5eLwU4G3e82RU5vtSsdPcIVHDsZOla
TH6GzSaKHd6wFptcAtJD0kzJhWkoImZ9lTqTTuvZVSjRSyTlwbpxyZ2n8gsjB6E5FzzgQp+snCA2
UKK2Wh6C0wxqzFyaYA65aw2vVMvQTJjjxYmIStapcU0vSDyEmlZJJmdhoQ5G3OyI37mxQ5Sg8LHw
0x79Kkz7jRzs1FgESKglLjoil/eJnWrFV5lEk8frYnjakOmdEkWIsQKutO/nVKk+m5A13ToFc9Dp
drENLWdkz2uj1F0rNNThxs802XwWZscksDAkBCyjGHGg5JVnv+lmMD7nPU+Mp2JsKMB/x1XsGxE1
9TiETN7MPsWY31HRLFFIUQbbRQqwDlUQH5abaHiSxbrlr/GY0LJQi+IcNSMcakmcZ/cNPK6fvV8V
AhcuYDEs15GRXBya5XgztSKX60zBS7kh3p3fPtLmcBt0AwQWEwRJutQdyUx+DBBybrM2JFMGcoZK
P6paa6ON5ya4s81M+izfOwNlj+eSYjO0zHHySQcp6fCCbZmsFFIE3ihk/nY/+gMZoBVuwrRgX62Z
5hurFEbJAN7ee5LXBMCvoTq3RUNpFcqJ0cyAbEhiLrBDlsK60zzQOzyEaniROYP7JideWNp9hWEs
TK9WbHDsRQHgszxX9+g0ik3XNfI1MCskUpYS05uhT589a9VVDYD+ySe+ofTyldbE3SLD5X10+HMp
wpRuQEZt2fpnJ1V3ibWlA+ETBQYxMy16giJSfA23Y50aay0c/HYb9KUyV4WLnWdt5nnaHzm1nzol
BnfjhJW6jzM3te78tAI9nCIhWaGHd1BG5QIBBLaY4c5OoWrsUgGNrCMWEYaca4Sf+FYNm/l+1oQr
WYvooS7wpL4hLlD1YcLcjj2giyhlK3pFI0rGHeo8OPExaQkIjtiTS2xpDKrLaYNEAl7D0HQXpcbo
VmiY9DprGM7Saq8jaOs9gNP4KhH+oa1E7qRNuotEPB1eG9xv11JjebDoQA8+sL4ar6NfZ+ml84ri
R04mzK4lJ3rvd5lLBjtE0nfHj4yrhoZ74ZrKux1U1s19Syx/BKZsn1Oi3yrIazaAuRrgLlFRypJf
Mp2qUzm2/Zcfdj1RFfCX0wfoSmiyXA0wlGk5Ybh2C4rsr0g6MHNijXSGpOucO8ZlznPWE64YdZHp
bjxWpynw5AqLTT6Ga43sQVixFQBhwNo5UwdZfHWAhV76yoTeUomQBbydQZNBoYymNBpQU2oFDr4g
bbSMfAVsc4AtquyUl4MknZAdtoOHU+vitaeH8sUtAgKOCfkYtnHpF+bBMRLxWZC1dXUSUz7oZIGc
8gjpOgYD331Ma8N+m1puEFLMOSTdbAxenE5jyT8YARy8McVkDDpxJU3X2fl4O9ZGYBuQMUy174SZ
dFA2EOTaba9rnBFFnWwkrpAKNMUomEJ5U/M4hIZ2g5wXEcEQNMilnSCdYBCQwIGyP8jynlOyIqGh
1uFDYoMZ03VIGs+hUUNrbibLauxrHXcpwSDgwDdFEFgzD6TzLYIyPVhVXl6T0wk+V/ngVEytRkin
c/9VAe3bFUOCNt7aDt6aq0bMAZL8guYE/rRFinpjuWO5KlECBoQxp+wKMi1hTRhJxKbbAB58cIpy
zRnpqvruamClDg6inGz91LMCxAjq4WpFYVvceQXBOQRraCMByVVkl08+OKkBBhOW5Rj7AMPmdZ7w
yJN+zebGAOmWgC/d9qxrHvwhc64xlQviX59zn06bUaqYrJ1nE1lempG54z7LbsEPQyBwWcbAQsTZ
NuKUgFbdTKfGFyTa542lHSOIP9WyxJLb84Xo6o9BIu7ARky4bmvpN83YYyGs/TudB35ZNxGrLget
f5OWzASNtmLeQspf3FQsf5seyI5eOsEDDRwsQqobQjSIdNsTaEKkHkJbmWwtIWJvh3OOcelUom1Z
EkYm1MUEuHTLcMeClhJaj6JXQ7VNI42A1sJJOJYz5TgJXIM422vStx5Hg15vU4yjG9Cet+39YMU9
8c6jROhoTsEn1xyHpV/3KNO7PiTwII10glzpP95LViUM7/X0MoniUrnGsG1wOdN9l4g88sk+wWOS
bAXtYzWhv8lN9RA4UWIsotw/9oCC3rkw4nsWX+ln2ZbdtkoqclV6S0uwWNd+vqCVqT4DwlIXRcFk
ICAeZZd2GRdUOYQubkeA9MZab8hoqyx3ljKDnSBVc6BsP9sh1MkGhrlHGhqQsASsyrJSY/FRNuOH
+p5WKSPKQIl+T7La76kWGmuy5n9pzv4LsRwxW3+YHv+546G3+rXjsYB26EWhhr0o0kotLLupD3mq
xQ///stA7fUchEREFdp/GlKjOspJ1dX6vTuQyYbTI4hZeVfC/Rdv54+5XVJ4+vz7NUgU0+kI+cc/
vh3D00yF67bdT23evsfzDe+oiY4gGJlOLQctiX6mHZLfhVCZKf/Fq5vzp/V3AeTvL+8SRCY86dLd
/vltRn2QaAAC1Z7JVLnBfqzuTZmRgj0XB13fpFdZ4ZRPEEG9JmOBWpdqotO9h4nqQnyXGYii0rnw
yB3q/mm4DG5R7B2rQh3MfpkxbTzNE0ytj9Lbpq45qgoXUnsZkyS/sL3TP/+9/eMbohPWXVp23WBc
/p2T9ktDPAFVcdOC3HHyOxqsvUmE+borol6fJ8Eed3yQSmv/776opTu6MAxJZeq4+p++kzUITdEh
NOZFg+lkuRa1tEICHxwid6ze//mLzS39H39lvBhrE94gf5IQ80jgl3cYeJZJukqm9v0UaWu7Nj+H
RNtk+qD+xbv6xyfN4mtpo9t1GXKwrPnjC5lZY5RFFeVIu4AN3gqDNRq1v2G3u3/+jox//KVZ5OnR
RVImmrrtzg/Jr28piURsT3a6VwLPRNhSUhAQGQYnph9Wu0pMC02ah0re48rrm9ukby1xgTGJwoeS
r/2u/koDryz2bn8ivniuD9EoUiv+87/qP3wmhmHy1fIY7PCx2DPV+w9/U00Eqi5ktEd8oLv7Urbq
MhQDzdK//ToWj71te/MkiVHjH1/HqULinYKWhHCfZoBECzOPVgHxYIfv1/n/Q8GHsWS29/6JRpBg
IlVHH+pXkbrlmTw3/72unQ3qe/2PP/A3trv8zdJ5MJC56xzdUvDb+dtQ0CLVkX/tQGu3LRs32n+y
3RkK2ii8wa4zrENw7vFc/30oyE8QKzGvRZkJ/nt4d+n8mapuIo63QK4JYiW5Lu0/nRBV56QNBGZr
W/qGeIgDMa3aMcwPgwsRqqM93nZV9hom2QBMQsrXiFHbyRR2S7PB/4htDgz3HBYieY7ZkkEQnpyz
4aF52A+TCkFlmXVIfVA7zrM59fgxEbI6Jz+BLLZIFDicxBudbQBQ6hnxffE1MSJ/DifAMAthcZQ4
rjZc2K4TxdXozNerItmggzQPQ92Zd23TV0fR5MWB0Rs3B9ijfdCNWEUMU7Mw1k2mOJZsn45x6lmE
I0mRI+/xJ33PQaIddfI/UN4K5GcQMxj+hcS4PlI9V9vM1uyj4xXdWxWVWLVjTSa04u4YPfmD1B99
G4Exlv6AP9sqIFbB4ARQRuVPetP8+CEky4pD3QzBxu6cBDlkXItF3LTRSc9iVyxRYbCNLFwqIRAB
6PPKIvFYT0bjlfCoeEOzl59zKehBdPANCUMLO8PCxjjwC16EdufDhqfnj/yeotCeVZgaVtxFo43V
TTgkAOcrxL/oEF2BnzYIARk20zjuHSxqgBXAVTEzoQ9DO80ykcXHiRKJdEDDwEidCdZoGRbqndna
IEgG6ytELc8YJQT1A7tb1LtYS+h2CkS+wLeVzm83JNiNsGmJJbrBFIaBPXfXo9LLTeMa7j1Qa3fT
WVb9OaqUaVLc0N+3tHwfZWL0r4bqnAOTkeDIWKK4AmE0H3sggufETmIb7xE7341d6rG2HmBgoR0j
xRKMQezYB9yj4w4og4ezLS/XcPvpwO1CZAfGwe5J5HF/sJViRGmXjBpjrV8bDjBf6C3pQ5bbjDV0
EaKiI3H3Gk0adFJJrWdiYcCRr8PovcUAgd/fTaQ627W0TnYFTEw3NHOEjA2ZsW0mM1vkPR+prB1Q
C4bm4coLWP6TGNINJ58IhUyf/DevzpMD8Yri1UW0QejqmO4Cszb5mAqDPLqWD2phk3aNxbtjdrYk
oYjA6sSjG4eDAYeNgUPPmFs2k7VvmDfh0XMacx2NXX2nFaC45Biv9T4i8qas3kqA0sQlFBmy044Y
T1GzVvSKgz602obEcdKkRnGrEpAxbDI2mcfS1q/Fs8/im305WpDCrUlXcMOT0GWPTb76gHZc3WRO
fV8hR/ZIfFv6VrKeI30WJTN7NYn+NmPg4tqlWBrEw7BwdKANOW1269sZ33qq6cHZ9KaZ5KsqQ2VI
dhGh1EUzbQd9dBG2xVgZa6da9rpFZS2yEADppLITOAdnzWPYPTLjys9I8Wh9sCJsU1SZ7RVJhx8s
AitF8zvpGrr3QBvkWwv4D187AaJQUVQQfoCQ0fG0kFeDSk2flHeQ0xCGW6vlwwEalGoDe46evyQ/
ZBNoRxwdqFarbzUws6oO8fW5yScz13aD4EnbSCe2+VqoYWtkttjqndCZklfG3qjhRXU9XN4smPW4
weT7jy4f7bJV7JT70mauwDq3RqrYY8HXU/AZeawI1qQHP2MK1+8lGqs3aVSOxTyy7o6ZacLddP3k
4pvS36ANib5KMHUKRo6N4H9S+rjpMY+uCZboB8jURHblVte+lnBBcJ6gOPzf7J3ZcuvGlm2/CA70
zSvBViRF9d0LQrK00XeZCSSAr69B26fKdW7cqjrvJxx+cMjaWyIJINdcc465Gpcy389J3mNWL1O4
tTKwzyj5rIdLatShgYo310ZeTMQMrS3BpFiz+thUbjM+mpUlcJ0NJRsYJh7s88B85MCsxesv74rC
HEYsIe7wlYKiIU8a7ZfUOxLTnE/KLKs3YaeSIPK0H5bSeGQWLSmUCMuHGT/BxZfmcrENjO5h0zh3
fXPqcnVAFpnp6qC1gw6R8ZlN1biVwODtuJiC/gCFyLg1ZWN2R4dP00V3ojoxpRdjXA6RdeOyhE6i
SL0HRlm+9PnQnnmZy/u6XNwPBX6vBBRpkojqQdxd0gx+XDbOHA7tdJEYmmGAa9DJeJlDG6rp0ixr
nQz5xo2GYzUvbpwto9evjHE5CmMMc6KbvHWLLmmEW+rlMVmULaj0Sks82xMBjm5SlzpzWWJVNV64
oVq6mNby4rsvs+FgjQNvUm14+WPlUrM6XP/uIM+dO9Xk9paOi3lvWx09fzqbd36ScuuDLzTHTkNl
0Yr0OY1GLhneE2mb9sqUq3aj5nHfiX5rFRa1Z0upH/CxYOpRmIV2YRiWh2iZ013iZgTDkqR6NZph
eVZuaJ8WB0od9YK9fdO5kAHiJnOsQ2o637Cay7Vp6fLLy8K+3CxA83ARjxXxDo4ezTrqBYb0LizO
dihndCnurbBMPx0JrhSGc3FbuCK9OB1RsRUFXSmBex2VH5r7aRGXmekYmzlt2nvinxYjTZ8vT63N
4Q21qx5uTCn8F9mX4/NUWN9igJG9yxNpgD+AdxNEMv2hojfFGQJOYTXbQDpm6cLpc/ECkR917JdC
BPqJVK3+TGjW4qaLIzNYhaXJYiIovO45mIvqp3LQkwYHSarOclYGeFXfs8K2/b3An3BRCFIETaPt
lNJBEbZQvRboEm9Rkn5doalcWuGxBw5Lby0UzdFI901vPZoL7/NctPpm7pNbdP5+ZRYAbcOBIFJD
Hth+LAUXyX7AYHGcMA09jlAJVpSj2buiiRS1NAWHDpAX8qsr6ltUTd6o2RYHuzO8XU8Njb1iy1Cs
q7yo1o1n6/s04TM9zCaPVozN245nyjOrlGprQZuNQ1xqd1XgTs9ltxjUY0ceXkxM652sgGi1nvEE
8XUzkbZB2bTDey09InMASdGD8uLVwvNxGEU9EHVpuu9GFCWAQUlhIMet/UQc68136vmSWH77PeJx
28IswHKnfX9+RI7v9xQPcTCx5d5NzeyEdYdyiDHrP6JGLscJs8ivAN5N3CXepbNFfqwNHvcNe8uv
uUE0BFgV2jR6jxI23Twa+bGqGb85SZbTryQharRAuKH/rTb829knOCShCnzVo7Bx9MjwmCaG2ula
53c++Z+tlSbRNlAWGL0i6M7sqthj5rjWrcRlSSCn79pfKODp+tshdBSg006uZ4qYWSIRt4EDXZ7g
Cl5Lv/SJQ2e+LqLGvVDiB7S347beEtqDoVbuzCA/zSr7QmL/7qzoAv5UbmuKZDVXcB48tF0Ho7Tv
TGub9caRe2I9AJyEpF/33FdX7XztBjb1gEXKi3pq3X2lt7TRGA+hOTvmu+6IbN2MiaQgxe8i3vuW
zkUOWe2w80CsvvCQ6neTBocUeDrtb5a65+wnwjL6BtRnWeTmeRpJd9SPoBkDLMLDcjalcSZa4T1w
mJzxa4NVcEwJclLkEae5K7qUMrWcJXxqyWSFH9l5qkor3deS7HdzdbdpulMdoqa33BEUVp60PmEt
GsWqxr//BifXOdk18YKYc+ZyK1Q4l6w4++Adz9Hw2ApbnLhe0R0sQ81b0c/jfWlgZwV/CIvONSzY
AJ3fEKBIOOGy7YZ2CsetqR4Xy6dZEHRR+g5PrT45slxMHIb0WjgtJ5SypKSeVWlRE8lK/faupNUE
U1UtE38lPZzRcdmLdNmki8lWuky67BWvOpuIrlMYskwXl2jAEcMdAOeVVX3LftOnuVzWZ3v0g/sw
NV2HA5gDd6wAivlNDZ71lXZDCOu/DN5hqg0Hdr3ggiB+QXuu06zM4NQggABiD50I0Xdi59Zi8aXK
RIdPchaZwmsvZgqzA9hzqg23bu/tqESs1gDVgMRgYrTimeryHXetT8L8ip6qoQV87ma7KsT7MeVq
l9npHVvcXz3SyT5pWuMwFQkFD/BYzC7DIp3f4iqJVqPf1euKJemjqYUB/EeARveqZF2aiRNXbrkz
riNGEKDwu8MS63bbtJwN+UmIXTW/THZK6zw19rY/0dFVcuBmRC5XOV1e66jNXiOhQdJmKf15EOes
Kn02OHZg5bomyAp1YZxvAO+HZ4Sgfl0DsXZy+KcMI1/sQ04lHZ9N7oXxEuU8G8z0Q7X2MTUZzZCH
7bUaAlK2up9XZZupQ1DWgK+0Na5YryyUWtcOzRxAn0u4F+t8pCXFv3br6kps68pem9X0ySYOHG+2
V/g51ngALgsElTvt1O2GaN1CtxRGxM5JIpg0kUXyaxZsRCPbuSkamT4kHasGNwFqkvbjsOnNYQDx
lF+pDx3dWAvVRRxKjXncTZZHSUDiWQmxsXJ2yC0M5P+CSomTDzmREGHF6xsKelTKyWBz47jj3jWC
5GWw7OFN0nZfxFlWMbAUCvIqab+gWy/2ON5XZlFnGz/topfKradP5aTJUfqL9vYi6VYcaDwixB2l
M8ogZxBbCwMOzHQrf/C7dIJP6DjLvpvMacWDw3xNG1k9KspDsQQJ18d5UVbyhsC/4gwaSsEtb+xe
XVc9UqDNfykKElXpHbnBsLDKu3A/Vf0n7VQOJourFYCcMQRKLPCWOf7Y85DZnE6xy6eDg/dmIbTJ
JddV7zPhuyvZgrBoK5LxgysrJwHaYQio62xX+5O/m2Ye1R7buoOdRSngZHvaqxCVYBVmVrShqLc7
Win3fO5Cpn5JvbJ6b6so3+W+Io5YBzJ4Djm4uDBv6mqidgQY9r/Vtz+cdf+L+mbhdCZ6YP6Pvjw+
o59K5TL9FNnflbi/ffNfchy4CJPVqIfqFYR0R6N3/SXHmb/BnbhKqIjzeBCuX/mHRw8jHuLdVUaH
nBJgx/tPOc4KfuO0Cc3Idy2+NaC18F9gTATRP0EmXB+l2KW0yg5ZlfL3/ZNmbCbFWPLvtA3cNrO3
QCdEDG8BQOOM/wPrebfIYiNKi73umCZzsQrwvWFvm2gNp51cubGOfPvU6D9yaZSs46ip+xOyffVY
5tp44maRHdKpHe/8usmOIGkAOwqPbLLE7b0JnA4BqZHZ9+iENLZCHQ2ztcqcbJ9MfvWypA0wpKRq
OBxZDcT4zPZBLetkvvc5hlOWtDxyBV6bG6Dlwe9BtKq9DXQuccxCtt9TiKayJX6HXSuZUgVpv5oN
vWts3d/m7UzLGCOQ+Zjg6nrDP5E+gpmk4se0i68eD9N5rvoamDED1lfaYviZMhZtSg3iU9sY2SKr
PEDIxkshHMwybWGVTIZwWO8mKatLt5TFpqEJctXYE7d91W2sOrNjEBX2lvbdFHhBzi2w9a2vMA8n
5Jx2IIOkwpyzW+aXX9qnn2VVplX0nba0N9l+4Vzd5/AiVzm8T8iONjR35AK9iRwUFXokplVRpPYN
XEaDXHfrxsovgE218G3ZySbrwJ5yfPmymeiwZmcZL1PfbDJ3KXnamNfAsq+Lz7xx6x/TpiNmJ8YZ
ijEVTxKUQjSTo44spCKP2jruagsTZnRFYMUYLRXaB8MKT1GdYr3W0c0UNd07jF6p4hrLIGbsKWc0
BMxCZBTA71td1YTymfSyvSP5e6yZRx44Mh1GcZki2oIVoVtl1SYiIiUfJfkekuHw3YlGZ1tgnszz
uRHtAk6BwKIQ5khPDKBSAycsaejmY8006dh3DHbuKfEH+QTKvP1kjMwKLEIYuY4Kp3YXA3zufu9r
b36XUdbCK8sDDtJRIboPC34xzyGq2MpdUTTi0Qqc6M51LSNZL52OTgV1Nnd11vc98MEMnkY0hQID
TjO9QH2vWa9zOPgZOvBtaw60yBw87L+g3zEDTzNfZ7jUTxLpgaSEqsMJggKm7r1GRjGY2wDV4Ywl
vlLZemew8ieio/VL5OvuwVPtcnBoAeO6Lft9EGZITm6H9LUCm2euiUBOPRxuu/xKubiu35rglnNF
VfV7M5eF2LijHx5G/Dt3leHRZUE8a+Ix2kOOA/3r0NfZM+FGSc0bGA4tP7VD08UqdHozZbYW2sIp
GqaAXjJU6QTzaWUv7zqdNhZBWqfWzu8tS06mBIx9X15AQ3wMo2J6n8YCOe5axZUaUj9NeuhOGaxy
OKuufQOKEyXOY7cbp2DmNv08yddFBpRWplK5VCHqdoXLk6S2uRBZAGLSxTQ8U8A9o1AC0MaJOWfE
lOZl0/ZgsEdN8rpzMozsdEhdVarkJbKLOm6UwxaP04MfG9ZAncOsRIcWmNb9OluuCzsQoKYV13ri
aIW9zoUFnfX5Dwa57BmtMjuapUWvW68c5DDDtfWbwYVibXvbEQMBhX54rynwFFwiyoB6klOjQwDI
6++6Oa/nLYAF1hT1Qq2XRQpkpRBHccEO/nDb99ei0blhga1oOnuTZpDEOSmJsh4pKmgE9+mxqlhR
RswAG1y1Hq3wUf9sKrs4L6G90F+QTeOrm6TiRF1G9m6N9OutGo8T52BT/ccHNiHiWwe1yeKhX4Lf
JbGHfVrDROmvwGSMl+0NjxKvjNOi6r9dI6U90xBEGnnxtD5TA0lnKAaf2VtLq6CCCbkgzGJ8021I
6qT3A/SEihAftkbKqUszkj+zC0U71hOe5IV9OOvqei9q0d8kPi2fNa8UFeMdvGtAbRUdRrZ0ZEb4
HN4Fp1RF9HZpiEVB76E/3Kp81DAcv+Sfl8h05ZqPZv9r0nN4Y3LyXltSSsKHy8TNKaI9BJ7/NamT
56Tmdd+zcJImRWxRGN6rTtgvc0BH34pkJvhKMpnP2M17bGFFSMVXhWSUBcrwV2GXOpdOhc3FxwPw
3M/UsXLb8Pn4BOTTne0MALZey3w8ozMDFHEnN32JrMEEd0OQ5JfZs9U98hOiOPsjYVNsk3P4rtj8
tDygbHnmuvXqfeLaWHTw6fhP3JvEiQbE4haCnr2lwjhYTwl1hjgzoKGvKqBtWVwB5t4afZufijkJ
XufC1Lg2p/pS0jsYV3bPEku3+R2VoqykFsuiO4AiVDi9/cuQmuVzB8B+bc2IuFgbnlQ3uneg3Oz1
QLXVvvdq86ln/Pyh0QfehJ3aw7pz6GsvWHVR/ZS7yVNtpsFd0OZPLXrDXdLODGdEcXpaWIryDgeW
FaduR05Kz6xFVjzvlmyTm9hZSSFZTJxzUMAMSKqQCS3vKqf7BK2SbCdYcdAlghL6M7MguJQoOKiU
o8NY6eX3KiNnA+++gFQ5tNmlZfV4qju4E6Ro8w9AG+91lyL9D7j7kpxAQuDX+WcyzO4a01j5EMLg
AJwKvoGIc7Pt4YwAyQ0po2g0xnVGACg6tmTjeA7YL3zA4FyqVWjZU7hh7W/RPSxM91ClyGMxAFH3
MGS5euoX3dLrKbJzRBJso5iBuObSgr1YWxqxKV1nh24ACg/y+JPHo+Ueeo6DyRFlEkt7GfosD7T8
XKxCQ8F06MfljpAdxjbJwB6P9qPpQie2hghjHN3YwclMR//R8SgJvE7EpCSlg4gXTuHtvOCDOTby
Gv3H8Vid/SKoPrs5St6HuSwf4H1Fv0RfOQFPZY4ScZt1eLws6LDglmZhdDH4saa6yycXoclzeItX
Vo39XUhFo6Fy25lFrBetSHp1d2XXXPkBxJlyymks5xPfiwlIqkizF9+VmdjqKGyN28kToMXSYlkj
dCTJzsnoXyFgPcz6ECWBbPdqLvzX0eCKJKY7PlDUDPy5rK2LtjO7j5Un2ZwMBrcHn9q9HWOSeqeh
or0XeKFpwUqH/Gbozf7oZyXXKq7Jgh4kh5if3+sxNoAk33OA1f2qj8bsLcOoBjVBj1d5u8ycJ7OY
+lfyk91dJItyM/liuQ0HH6wGjy13Wnu94B0VIl+oa62D79alRA+csj3fGmPS3ETXUj5Blc4YC63w
4GP0/31ZQmVdrcHzpyJNOSP2NMbGnbvxC7xgEW7ZKQ9biJ4RFYKLvh9LZQ1//pbYv8B0UxDyHo3B
k1MAu9AMz1SGtY4Lp77p7kJdB6usr58ZJx/AWiBEVqk8RWwDuGYTlw+gO6IwUvKcxsbcUXHmADFj
t+JHrx0dDBTydriyYoxprJQCCHovhZ/0p8hqr17N1n8gFdqdGV6qExvC6g3zoVfEPqu236ELZTv0
5CtEHVvJLe5JqmpkpaaPMJ/N+aadnBHDc2SNeBIb22KfnabzXmF2+D2pUlKKjUnEvCGXRrSnCwg7
2iKMbps+XfYWT64fw5L+T5omYtiMRUlLKg0UoVj7Ne/1yhud3N7ZbZQ/j5G0t3Q4FG+LYQBrpWnM
2Y5zG/Fsy8YXq4yyh4B8DuaCYblbckf9OH88fAVVWyteeFqodZo80Asov6Y2lOeAmp4nocmx4Izx
V1k9+p9Zm9Oard0wczYmplp822gk7L9s5xKWgV6bOsXmnVEKz/tcXakF6P5lCcurWA7TSJoxlrD3
i1U12N6bmVr4nll1EZQxcwHkyjS7312jB/3TCjKUdAPc57XuX4mME4vsvWhfARB8GS0TpPE0T+mB
7g0JTRrNmTLtRqUAI9zFOJRNb+7pQpigXzuztfJmwoEZQ3KFyqWGE+1fdF2WPskEaseg8TES5Htf
aPuqt/QUJxIx2ViU3D94M7V/LOWbrls7HXF0ygS8Bco/1Gkam1pJwKdAvhzZd0Dpp5zuThJvJ0nk
XE83QH9oJJXFPvQayi9IudoPREzdPc7e5ou8WP1xnbJRWganrtaD6xiP5iCGO9g54rWc+vlAJSYO
4p4Hfuw5yRJ3lvT4ymhyxDDs9ihN+p/aKKUzNneyFsds1RafdVuJbE9bQ3qx25pfoSy7wL2u+4v7
gcJwoRzf4XKBviOq4s4gmcL2pBpomFg875hmLJ4wdxsmedckeqAHZdm4IWYQMloDxSpFP3IgAWUD
GhAx0F77i+vOq1T6HXD73gTa2uQGo2kGwoEiiBrVS0neGo7xZg16efS0uFE8kT7zEgUpblg1sRmG
uIWOTbesu86UwgNne2iPC6I29RrSJ5UlyCkzs5X+ZqLQ8ihtehAFFIzvOmQZt0xTra7HSApfgyET
YUwNTH5ArZU/U1rSCCdK7iQGiwiwAIH5XHvXmUKRxlmz3J6hcoUWxNTBck61ryjsNVm1jGUgDw2+
np78Rj294GO1WURTsH4wyEx80I6SY2j3l+oaGentg4O2n74Gw4Qlcww0hvJ/i1n/JzHLxBIItvN/
spPF2Wfznf8/StZ/fuefQlbg/xaGph250AxC0/VDlKI/hSy+gqPeNlkj4pT8g6L6l47lmL+hOCFj
wdJwnOgPL9pftjK+5IccHTCIhRi2TGyX/4KOZV1lqv/ynQaodWhiJsMQP4WJ7fQqc/3NpEnjCTNL
XbCQhpT8XFPb84ZPPT2zjWMdUURiemeK+KIVU/yEwmk+9CDht9ACOGxcqdtNMNL3EXhG9EYbQnsz
cjCkJzWvvr0qHV7//WH8P30YHS/Ec/j/NzbuP8X82WA5/jMCffgmJvzn9/z1GcSmiIHaDEgVu/7f
vY0BMqvv+CY6aoiL0b26nP/rQxhiavT/VEvdPz6f//A2Br/5DhprZF3F1utX/oXPoBcQt/5vH0Ls
t5FjRV7gYEmKAuefrI2lxcGzLGkhKkYjvARmoKl2XJp6S2F78Zai3L97lI0fGr9ixRD1qHy0BnI4
KPtxj7kwIuMr1GPE8fJaKVtEL8COnDdbN8Htspjuc+4l8qxt0znMqAhfbW44NAKlE7dake792gOX
DVKYdWdvKfe7nBabJoV+ULd+ZdpPJHvZQeTkEKFbdJhuQr96sitLr3mkIrRgrLiTvVOyoL/qiZlf
0/RE57HfJcUL+Ut5IzjPvbB9K84kS7Y5NjvKRqORzvaepcVIXrkolLn2gdICLA4hyhaYNdoqTBgS
PCZNTgApxTtOs8slBbmwBCv4GqBrHZTPRyaygJNBoW4HvOxruN7rMPOuLBXfPOGc6M5Olhk3UwWL
1sNGd+vaI6CgoCwfR2UqYC8sQ4vAb6iXdiUpEmlxrO7Hh6phszaqCEp7RXikHLzbZBAVOeiJMArz
37slXAcJuRnZmNqw4+2+vFSVI/bedSeLDDRzClPLZ1RzKMJrQCMcTv61ndGZp5ag2iRC4RxzTfs5
KbtfZBU6b90oWsVIK5X63VRT+qLGVL/NWSKfogQcrLW4S7DilNCB4ust5pvZ5BR2ILFXyy2HE/O9
5tYKopIVdodkEUwfxdxrOqo5q9814Zic8rCejhGxxY3oNMFTlwkiX7dDFK0JNM6gRxlkwtign69d
IdzTgz4O9S8LLOM+GUFZrMyWOlZAh83JqV0Dj5vXP1Yz74vb12Ysc+pwJoDkS4bCRjWXcy6pqaG+
uFGvU+ET9A2j4TUAkPPC5JeuZW88oFB3x2LU9i/aM71VDZQeQXroqeYrQMDc23bxnWXhh+cFybkT
C8009PoebWhi60FTrbhScK2ta4KQTSQLB+88jkPxkLWhRSeknG/ozQgudRftWqMkDddY8CyDdDyN
vd18CjmAubddvU/zkDroubsq9NXGTqcE4qaEzOUQG7+/TpoXrcCUzr4/3ZC59N4zR/jhplxG4y3I
vfwl7ary0JRaf9T47j91Qrgqw7sCMTgMj9rp5TqP9Lr0vft8svoHZ5zqOBqq8bNw+v7Fm+h2FO3g
vHdjB450GJ3rKTcJLNLyxBBdsKjZmv+1u02lF/k4p9z0yLGUMo9AdBdvyrF3hF33mkQeYmZWm8Pe
7skvcyrsym2RVKtkNOcCgxd1CqlRWylp9dq54AFnpUj+mJ8XcColUbalX9A3ghucSvMaH0t7TgKF
vVYV9iWnuOzcNQPku4wsqhwDQdgUD1Ie+13nn8sspasmqbBnkCq2fkJ/pvIWqe1sW6SQ1pq6bSv2
bBqhRmYhouZSYvnUvqmfc5E1/c4Cql7FGCUguEazFa1rBvh+BQ2C2Jhz3VwPzehd6XXDpq0cczsQ
625I4SrTW3duE4ZxU2TdBo12zLcLFei3Cm8ixFBuxe8sucDSsjGa8U1412DkvICPXiMEoSiJnD3Y
jQDmf6JGjt5kN0trLAjpcD8ZY/MtMcJN+BpS+8MV3uStmk5m70x218nZKemjCBqO0XCv7SF4nxsX
7SMD9PLMGs+7Jcym33oTgfUmx2HnM7a088HQEGJ3yPgOxCRW/yyPgKxhYu+CtwElL9xEVSjuzKvb
wmnn602bpRY3RoyL5PJpYtwO9jgPO45eV2OCHRnvfjYhDJYtxWEr/OeEfeGC1OaeJrROxA5tr7ca
+HC2mSblTJvUtpj85BWytJtxOeKFt732MfdHdtU6XDCNsPqWXyYyBMPy4PsZjWKerR67zDSOgVjq
7VB3ipMRkNV5VfT1/AgJmh0+QdXhPacP1YthGdAHogft0k0r5wzbo4EOb0rvigGqLBiDJHmYTFDE
bvCz+QdIcniLJWuqX8Lwm1cmV7ljjJ4rWN2Yf1YMctVDXgbJ6wCP/VxF7q9+NsSnl0cPLp2kQLPo
KsKDUbX+Fgk1uhm8YfqYQ+B7K3cY/Q93MGUYX92KB9NPYaDmQYXrH8X7ISnDJbxLy8RgreSCQAaQ
K/Q2KiJ+ARFkaldWkYJljn1KI5fVxTN+8elIY336YgIQ6dFj0ZXxASClasbgHyvkqeJEelIxITlz
k2XaOxvlCH6L1BADu6oH72AYhMBXggvhrcNv90RZZXlEkrGpB7XgRyGtIZbtMOqOuwSYxPOAqeNc
1h4pttIwC2DUZNrfYIrxMwfErG5QzNwGyAJEspXEUnnTss55xRNcQ/Kjx6qLk4A+n9iJHBiigvzk
qWx44wynskAemZIf0BvT6rs3RuZhGK7LbWOMXDEqsarXoqmGI/dQ69O01PxKCiI8VI3LoJ4ES8G9
F8xXrPmjsT630/Ae8f33csRogkgZ6V3gecZ7X/GEsmcCDCgOPPTGyUNsbaKXdJmMZ9hS1b3rkGKm
N5NKrEw59dmpQBJel336h5uuulClzHSNuUu9jKM7qzWSTPthlG13AMTEWqZ3OufRyzOAGNwVja+G
9CdQLB+k5Yrlo+HGdhJyVMAqXn3mWbd0O2Mc2XnBkIjozsxb0e8KG3ibqgWmrsZsfoLMDetXFs1s
A8Ssg4eCxU26DTRWMDEWy7BSyLV3UWZBalBU3QBmSz19TBQdDGFRZPdaZdjAZKhBFBANphGs+uK9
wkeyTGH3ArSZp8CoeL5DW3woRWZ0q9JpWQRi4L6a7zu8p0ZQYgKze8N86YprZy7IB5jw2eLTB5ME
QbpXuYgGCpttPFclAqRaJ5mnLugy/O06sGUe22UGSf9K5a3RGxE+Kl5VcCbdyyAn/17pPIL7kfO+
F3BJ74jGLudlMrmjmqErHwaLZmkdJihUymSZ7gNy4YqHeXzIqWc5sUhw+tjlCccnw5sDQtWDtbVa
a+hiZyyByS8mNanE4cBgFaK4+PiIQHWEjY2GHbQvRk/3wcrCf33ri4lXJKrKnoDdxCvUuV2OvJeG
n2VeOb8z7vJjpfTAsT2ZNK9vNtNA6Qbp7/huaOCshuiFmmw4HktvcPNT9m25OMW5mr1kWhtetewK
XXh7nrRdiRvHQsmsC9z/u5aY/ylhaXucXOVEMYtBVaxz4HMf7J0yOBHkwH9VXVT/JBQK3YDUSr9w
V89znMolOuHwvWVvaR7mBTXr3wrGn1Pe/2LH4YYf/Y/yxeU7l9l/mxn/+pa/DDgBkyEOHJerHUPi
3/NwFtYc/vEsk4Qxkgbz3D8MOPZvBCj/bs75uwGHBQ6KhRtZxEJRPP6VoREvzz8NjRw8COYyutIf
x9j6B0Trb8pFPvo9lZRq2XZVy+e1rb2qWYnJMM9Q+DOeR7ChBnzSm6jGu76xMRSf0EKrbVJN/ZHi
T4sju0nYBnkbnn7SYYa2bRWw4kx0IHY2raVn2HlZsIpIpm8wwITwf3PUxCaa+zcQy+iodkt7oVNl
+5rd/H6oR7UZr47Cvk+bS+4GLlUuqRqjtee4g4jrEhYOnl+XrgXbFaI5gCt0j/mUc+sfOlduEpBL
Z84dZY/0CMRtxY3H+EnkIHDkaiv6yiO0Rh6gIDo94JpMLNCtyUS0p9Bz/FdphkRkLBPaPfdBuD+c
4QTYTBsiLzHBBsC3qt71YubnXORPCftORsx65KDvi0/fX9ge2X32wFjmP6K1VmczL+zdBINrg9eZ
W+DcsDCbDWPljuZBGYK+uLZZNhEvHUSOIouNnnIQ+Ff6QUA0iOGXnsN2qo52qnIu+PLbTjtvNfht
/pCEHl11VlfB5h3nD1Cv/inzFkq2F9NorsUZJf1yBSLZTXmlZMXSdLiLSWwDtI9WXng0KDrvwEgA
Q1pVlcUDvpt0QVV9FnDKxOB7589yeoDtX1F0ThJD4tZP+0vpTLPA42zLzzbIdH/QYzscWZzYbAla
nVzasAYbU/chy5YaLbg7UtdBbyTLuAwef4CrFLREGt3JMcX15SvsZ9uGFN2NnADMJNSpwaik5YGI
71Dn+ZYzB5AQTXoiZY1ym49G8WGMUEUSyba0KWBY8CuN1UOfRuEzUUhv46lwOgF2Gi8KpZq3MhpR
eF2cWWqFhWp8DNk2Y3vIHft18LT/gp9YUKyhhXUPr85np44nYE23RrsfKAXf15Gru1gP4/yq4C99
9V5e3EvWFBvHyMgx4fie05PmV6IerLJaKMmVSOIGF/MDkeVwr4KSvWCZTtuaxW0VJ+XY7vsuaM+V
XaltOj7aIh9iT4/bwMheWt1zOivn8XZQvMYkP4t3sj/DndeKkTRnhuNHNBc10cw0zxbd19NyX7I0
PRd0vGx9g3CDsOr+jHPdqXeV5ymuauhQbBPE1SrOUpRgB15ynBiYjZbY6ChucQ1T/wRF8q4Ilp3I
ejRn3UcTqgycFNAFAYEFWbsnzPdQSBdJeC+0reRSSGmIVcOW8YgtSiRbWwPP5PyXB/fUCEo2XLi0
4ymrgrOMMCJNttvQ3yI6xbgNd/jodVi8Dzq05XBgv+bnGxN73vzhmrxJjzLsNXvZpv2G3guIk+4P
3+/IyEETEtTaDLn1arASmQ5ZgZTH0D/Si8wasjR/d0jKRdTQ9GVBBNDJeSuuIVQ90FJ+gzYFn8y0
xvk5C03cV2DVXlmnE7K4btN2uVmWnJ6UNxTbHEcxpE+Xng6E26F6xcGhd0MkDC/mZv8y9JE+WY6S
t0xiDWAeYAKQv/ygXIUYm76DoCA6RlvOWdhEfEeirNsRgpe/aubFubTWNH+xFrfeKzFVcYC8Q8cB
B8yk68DmF6p70jkU0JjGG2/GRkdQ+DsdVXu/uH7yQzKXXWYwLN9CTyNIFJM/2AKhlG4qZ3GnHSBn
Tz7lBmbU2A1kmMYKeWP6D/bOZDmOJMuyv1Kr3lmKqdrcLdILdzefAThmkhsTkARtnmf7+j5qEZmd
EVVZlbmpVW0ihBIBgADc1Z6+e++5T3NbOwNbK+ayPQzpxTyF7NB2XdEEox8zkQMNklMKY68fc+ST
3KnkKe+NPvctGY/9Bv/R8pL0KLQbA1aMKrOy8Uq1rtnYB2kVNEO7rZfeTVap8XgJybuIiGDnAjh8
I2EcHWaPci/dK/lVZuFD1ubZtXEBM2lcvSAvmeFCVI8XYD621bm3k4UOP0xohxkt6S7Etfdqkaa7
dqVnR5vFlNW3nlAyVj8CDeBwxonVmNODGww1mk/3tUMUiPKLykmOaViMuD2xQv3QzVoV8aaz953E
Cdj5Cjcj2HInWghS1XrhHWxnMaSv5zMTmBlb6GlMadlTS5QcvjTt9dElsI0o3tnYkjyeYGURP4Ca
arh1RWN5SpbKPI0Vm6K7jBqYo2HZvAsAQ11KOquPI2g4b6MBm98mJcekPkbdkzP1HTytRv+goeDJ
HOiP2wRp0D/rU2rStK21mo6doXEo4Ia7S8kijUofDZj9bJfSg/JO1Lb3tqZN6PhI98UQ+X1tk8Nr
Iz1Dp4OjtKXWZP4Mse29WqIbnzsvpJy1HObuGXi5d6l5D28mTZpPoq3NdxZaOXiewjy3FjAzK2kU
dmm+W7zMnLZ0Qo3UjKQYNpez7HjDblqRof5l8O954KjbnFxaOhHjKG8xf/GrBPNEce28b5tRKw5m
Zhq/GJzmfl9pbj4/GmSjXq2IVRefnZJ7Surs8MCVzHhNpoTzztHtrjrXpcfmAHJV96CBqiU5xor7
vco8YspFAnE/NfXaOFqaGEjy0skz7WzaWE38pE2KfSwlaUxAl03zQ8ulBTr00GZf6yDVH5qErM0G
PCIMzGaYC2YIqmx3upNRfYSWSR0v+TFKkhaDLl+rfW4XU/vAog0m0upbap36MOSg0XE+bCM8UPVW
ctF/4LvGdRZxMT7alT5OhAD79rPFa0qrDWBedxO4KGTHcu7wQze94URb2HExFa56xIFtL4JKk6TL
xztn0iuAjEVnkwW2RPUTCQ3bnKMcdG3EhXVrjvUPegazY8Uy80dvUvGxdVcDXrea8XgyLT6QEyx6
5FrDr5by7Vl6MtCnBc9tA3cruRtE+eqONVa/rI1D1t1oJ5dceQGT1RYYYRCEEMv+fQyaL4tyDzar
kXDo8RROaYW9kP0g+dkynThTlP0wsxF29+wJasjpyqAILw+zYrYaF5MaD2Pcp9gZQ11ZG0NyfSy1
cwyPKVGs0NdcVphUKYWvPZThTxCeBm/pYcxKv+xLtoRQqHnpTcpVCfcOhxyeMRaUdWsqVKRhA1hR
bsyh7ynEVQ7NWnk1GwjOm0r5NzXl5FywdDKQHlOU7RaROyn20OGwKK4m0FT5QQ3lDB3zwgQcpeyi
cZ6271x1aQ5RblKe+5wnCOzyHCq3aRdmGANY0b9QasXipwvgLCt/KqjVLNu2jV5/D5scAyv9B8aP
KSeEE7ATTcvla4TddYhZWoBfDo9tIAe2pzO0/42pPLLeapcNVutsSnH4AUOqnH2ta/QvwlQ226gu
sdwuk2HdDOXDhRDEesJY7blwirDqjl5P31/vFel3iosx8y7K1zuaJXK8vdp97dKrjg2Pi23HM+A0
xdzasbuMb4HyClurbbjFQNwrJ/Gwmorr1WCstavZeDUes2ccX1xSl/CPlDOZVBxlBsqtLOPUtHYA
2LXPZrUzuzi8FZqieeQE0gmW60bFMk25oHXlhzZ1kKkqNO3dIFk2z4jAWKcDO80qCsSK+pu9mqvb
KinEjgENAKRyX/e/GbFXUzZvPAbDWHm1PeXatsRgXHF9yFuuPN3uau+mBpLtgaFc3wUwTio4lBec
irfpyKsHg3iuvOImq574WC6xd7ENJ6dRoHRIKySryZyIIobzpO20jVQu9Gw1pGutE36RyqU+81Kp
UYCUeb0rDUIEjGziw3Pb/iyUz32UOEg2RH8YwVYjPCsUTPGZbgQGlmRqbhflmp8DbGKAM5WZflmN
9ZHy2HNIJB/JODp3matTVTwrNz4/M4z5JLqn7dCJKN1Nq3UfM/UbcW3S+H2CvKMc/kNliLNQrn86
yqG0W/3oc6oWu2iNB4AmIiog1tgA3Q0g6NYsgVfx1m5UwmDqreTaVJYnN84aQRjaRnw3VC5h0umX
pPuX3oiZe+NoEvcuCTI0ATHIWmUbPCPKHoyEMpbSsVX7sBbaW68lrLSpyuQ0NiRKKHapP7xMx+Hr
QsCI02j5TrqKWEW1Jiy8IvleqdQFGPLwuc9F+kViln8GAcb9D2IFTVtVFYwHKQpCBLYjqabnjcUu
CnWASnmV9pC8LfwpHzEpkcFDDJu3RfFM+Yby0vJ9P3rYGEDkVsAXe8dzLmS7iZbgOcne2gjT6LQw
XOwaqiyiLWuw6KetsiluGbjAPcirKCQiaBWVYgk7r7/ZKtmSqYyLB8v3mfOCmi3CCAWTEXmPIY3Q
BkceuPMyDy9y1M42v9CA69dXJ+G0nTwzfMZT/1+UmPwRWAWHAomcPYLQDbZenmf+idpWWRb1BDlI
i9qt4GFDrhgIrNvapSGgjSvYC4qff6fS3/59RyxxpD8I32jrhIcIKmG/gCu+lqr83Q7DpZ8iN6pu
OaAMJY/VuHT3ZmSL3YIx6RwvhAFFMUW7//yL/tnyob5Nuuoxfrj8vsWfa2llLEraMdPpQDQzuzLX
dLcwGEviK4SSq6Xp0adn+4Rntv5cv/L/cKn+i1XcX8Nt7Mn+sYfjDJsqVY6iP7g4fs/U8ZF/28p5
lkuE7d+5idyVUoWYr1Zrf28mktZfpOuoMhUTp7RDUc/fdnKqeNkBfcZL0HKJMNvmv7ST+xPyTb2D
WMYBl8JQ5Jrg3NU77O9ezzqCNUH8eTnkwlw4xHsorxvhCSPy23V6162AFdU60wOBiDu/alN32IZz
E4odfnAuAkFVD8+jPnoGWJfO2ncZvFlXXR4AZ3RPJQ9AfHslKFHGPMzR6sIR9WVx4S+Uw0LiOsIT
3x6p+IEHc7XVrYXuHC4w1nqZ8daLTbZecpr1wgOzMHsyiw4K07Jeiaz1ejStVyWWQ0zT5XqFwjSP
HxaJgtiqV1jUPg5B8jT0Fk3OM3rDTkzFF273k7ftA0HKqk3FNnVbtGY7NPoXh9sCgFkNoDfjlQgO
I5om9ZmjreatIjf2lgmAfd8YNdjmeGFG2XHRju/jTqCYpVFt5rvQqRb9LFMQPpsA4QwVxk0D50i5
lqEfzSUpCjwVJmsLrpZoY3FUaN9Ixnke26U5vpYBrs0adtW1lWx5NwBTHfLEkhDQzs2Yz7e5AUGI
EFmDyFUOgUt6uOy/ZjId0fb6rvzkjgBiynQ0Dbm1qq7U3s530wjbaNNZXsuw1XrcjqxqSgn3y/Gm
LdrwmBhN/sPIIyT4FEEo83FkaF+4iM20ZdR2Wx7MurVvmrQC6l3Bn3C1bocl3AYl3KfSyIZ5o+NW
aWj3sqsS568rfnHb8DLiTzwaFqczgn2PJAICR8lsMQtOYxtVDevIxMGaQMJS8y4irgBEVIwtsmlV
fkirbtHQNEejK6niSVz9vsZ9obEnSnKw7qw//NTKqw+97aZ7fUjQknAey20Jg/ysNZ30qf2pyADB
kGhjdyDrBtTi0LHYoJ1A0G0fptO7MwfznR4W3pHW2vZtqsr43fQS5CpjYWp20Qi/5EG3PItymm5F
yHBudnjcU+GND4lwATalmArMqk7v0JVYg/G5Dk42Ud8jWCC2LZ3gUM11le6CirGAxoBav9xpfUi7
TdAEZ+Tj8ijzyNsXhl3gF47yt0YQT0Kvf7UNkiLEcKeNqpetBzXo8sr3qIYjNUOowxssA9mK73Ts
dXcXu3F7qYNG3wVdPL9W8Gy2rAums9EVKtyzDNsaWvkMzL3xgDOY/PxTGYQ3YYnl0ZADORBA4w+8
1o1DJVmw7qISrIA7mt1jH1QShI8lnpdwXN7IANpHWndmbz8mrHkofKqKtwyz+zuNCtVbWnb9L0y4
yZsjrBO9TP3RTPnciR7E47alOOw2y7z+WoO/fCwwfHyMXgCrq5aO9yzpkwSOA/wHlkNvoaFxpkBR
Q7b0R2NeqOqx5ce4IHluKq01X6UEeWQOFB9hXM+/T8TNH/BG2t8SSjv8KOe+uRvsdngyXIcIXRWL
U8yQ+9NpA4+KBQwPVLJp1vyQOAWxFwrBql8SH9ObeiG8GIuz/Iqccax27qhnr0utO49zPqkckMZA
EqG0blkOjnyfeIJ3mXTFV8MII+3Qm1Nh7bwsC+55/vfnmTPiKZji8DOP0qnc2MM0v6dekXVs0PXy
aEDipuSSSfsXBUzY/lvPqFEaU2m/cF8iiNn3sDKWzAqfmjwsPuzG5N0/YFJnHq2ym44jQm4rmNeo
86yqLVb8RJIWkMlT1UFN0G0FRAgmwoZ6Q9kkr4GmmTE3mxIvOr2r0Nt1/G27JmuYewqBASljPoWo
NUc9MFAjG+lE5k1S2Ri6tm4n26dQZmw0Syw6myHu22dKsWLfBk570hPPvhh2FjyFmWl+DRS7rVAU
N21sn/Uqn644V0C8VRh/Hr0V/FYqBhzhXLZ+gRH2p3RqgMQJKiRxW8zG1VYMuQzCEwk5RZZLLRhz
1I0o3NyKnoPGsjyOdhuORwmR4xmHf/YSDSG90gnkumGgLkO4kf5oKK5dbHr2NSNpfY7TPmc1SD+f
nyoWXl7M83EoJ+uMkqQRJl+xefCc4cF2bWeDLIsBeeMM8uo73gry1VbkvbCGwScVjY/kUf4xtbX3
QeaJJmV0IQq3FMFPdJ1D5iuWL4OIXX9RpD+3jtxr2DTVjzAIxw+vSmACslrt3G26sgKXYWyO9hxD
EIxXmqAoflGP1QA3ZNo4EhAi+lEb2ryTFpwQivDKa6LwhGyoFR4ff9bGUfjCToEMI4U0RDSBbtis
pEO6x3jeupVX33sRx8umFlYOF3Ecxg9cFtAS2YwENKOBUDRWmqJYyYrlSlnE/FHcBey4CH4CYWyw
RHkbjxvTY7FSGlsFbBQruzFVGEfyKDUPLwV3ZEGMGSEC+BhZLRgm00jkT8we9Dhosh912HhGfPFW
ZqSUg/5qO1n8xjMbpiQ4ZXwyjkJNFgo6mQFdOQBg9l69qLG3wmnWcp4EUmUqe+0C8BF+ZTy0xYtR
1FAtCaEkF+R13bxExWy8l5VO6TCZrRPlBXa1sRQgc1CozK505NOEmHc2vShFIwKpKRRccymX8bYU
bf9A8UeIGcXpunfIQeUvXBzLOywX+5ApXGe7uEQNFrd48oLavDoNxYCb2W7t9042kD670WC3ix0I
bjgxbfsuVljQLKjT91KhQhnYoIYGddGT5Gq97Ar/3P0KsBfAaGx/0U0KbeAkTTupWE6xApJ6zW+1
AOkJDyx0DQKQkDYKElqvycrfYIkZHyIF5ShC8BySoxOUtGwq+inBd0QdbSgbei6no5yy6GzHgD4o
lHN92dX2AXQ36oWBaKQlIFPgPw/f5pUXwobF3hK1S7+6c6N4Ij1okUZBRozfeCMKPRJYQEh6XCR0
idm+rgAlwmg/CoUsGRXwtFcYEwHPxFRgk9EbSKoP1XtjZs2Bihf4J87gcmIlg6VTs9PCeKKQJHuO
eZm81wqgEgfDcuRiO+S+UIAVubJWSBTDXYFf3YU+wTDzi9d28/fKccEHzpzqeMpY7jY8ftB5iYFX
QQQDlEFHDzOHcDFZSywrvYX1q4eTEtdoBpHlIUzOksfnIVBB0CXq01uypkM9FRQtkWgpO4lfMhUi
DVWcNF6TpaUKmfbm2GOsUcnTSoVQKxVH7VQwNVER1aQMmz3balI48WC8jHRi8CPfLyb/e95ad22u
69dcH01/zBtISJ4OMqCI8lMudNKgRKZurdtVO80W904ei3t03ACmmT4+UsgSX1OVrU3XmG0neMZu
xjV+69SjsxtUJrdX6VwxTc01rPMx9bVWZXhzmAZ3zcKwuGm4zrxZa953WbO/ksUSRZcMiKRv8aLu
DBUUrjnreILN1lPljDLZGT1T4l7URYYgpUFo2lgqdoxy6N2PLBdvoaNSyeSwZ4NDbFrOroott7aw
X93Mnq9UV5NqBqlos0wqrUcOO+QfWF7RV97A+t6Yx4IRes1Gq5S0o/LSFc5KUtUqRe0tlXuW5It/
efaQdzSVh069S5k3Tyg45LDZUJPJNp2upeMvJ6ptrKltZB6j2McTkLJdj0NQh1+r1u/Luorv1Fbe
XBf06Cos6xu1t9c0s30u1mV+p/b6ldrw47nuv7JxommCdVpx17vOtsYE0m3bVRyYkfWpSLCzr7DX
uKEBZFRCQsFGkRBdnVk7axUbKINBeMCVRncCYj9tZVMlECeg7RC2VopFsIoXgxPQ6JgSC6RAqa8p
htcyU6NjoZh14uGLeEd0NcNDpxQRbx4RDxIZxq/lKpnkq3xiJqX5q21MoIfVKrAEeuewiHRcTFsZ
0lH00K2CTLaKM6CAFh56SrKR7vzEe4auZSNvJ6TChVmD0//SRUQH+ry4TNhL3jmWrCcbEyAgusC7
FEoymua0TZmmlvdxCSlz8aJ4YhupdKZmlZw4kpCf/mdF8k9FXCyslP/peuQDBs2//a+PvPo//3b5
aMnYNn9YlPz28X+LXDku3X74l4VpWobyBv0euWJJAhnIdNn08a81jPXXuIv1F8EuTriOQWnCb9V/
f81cyb9IB449exdUcbYk/1K/n2n/EfYPWAbfDymWP7P3C9mHogc9fMi5Nm00LRgZeHRz4XEVD/eV
mdql7wXUtTB/jhE9Tq2Z+rpW15d5GoITZTP1fo6IAENGiXb6PDm7LOqnY2aUNMJ2AdbsSgsFxGjW
/TtGBnzLgZo6ym4+5egJaF3R/D55WXtwOuy2LccWPIimfhC9TN/DJsDZ6ZSwtsRI6pO65IsXet6p
WBiaDfiJPjvc5kxsHMVbePEHHYIwkakYindBUtHv1ZZEEdzEJPWapznZYOw7ZcV4jOvRoC+9BhWC
U0K416UP2QRgs+8+Q8flvWkhKL10hVY+dXMdz5e6HuLL3IAyreSk7QP2yYc5Mn+aCZYl27WnnjIj
3B9lymZiG8jKPJSRHfzIrHTA2mvKS50MLOLbYvmKpTjxwZwbRxGkTNhONL/0KYvSSxu20O4ga7Sl
T3yE55iwc+uuoBNvE0kVPaUc5mIxp3w31QqhA7Ozc1k4oFbWMI6BZHzSxZ2+O9ZcvYex1x91s5Jf
HG5czla3ILTHuYE5WeGWtxUL9x94DoKz0QMxPGBSSnVOFgZohgbMWjKJtRdNy53pbjGdgI+j6PnX
LBbuRaSSKAnPtOaCVlZ9aFWcWrjIBg9hr+vgPmTcxZeEzxJXEdVOvdF0PmEC7VgouR/nK5tlnmE7
Ti99x6UWJSKMe/lkS5ItPHpdbGKNwXUaujP7e49+qNfWGFnQ5YMkMLDYoMGRZtCZifK74UNuO8bJ
y+voZslcbkXVBLjbqnKkBg7rDs78PppvlGmzVGgIkph8Snlr+Ct+9BDrhW+BGaBcr7YoxwLMA+8J
Cl7AI0puCr7KKTK1GRVKBL/myubv1JLrISghIo9pmJdK5AdjLZ8cuw0+YJun7gZvKf+YhPTpCoQg
GHmzZ++NWhTXIO5apO6yeSzpAeI66lUi3vcLrnxJCOIpNrPwF5dRClqCsvJnGeMDt2iep32qIc69
YUHfshFxs74/UjSr/wwsbf5YYH+8GnxZa0dBrfFL90gIIJxYtBLSONNSC224usb7h8EOSHjWDXf5
ULgGrcRmRW1dJstyNw2WSbtSTjGa1BzXvEUxCL2dOTRh4c8JgvCmpkMj8sk+WM+AJ9NxY1RaTqSY
S4P0E1G7oKOmXv8c55q4MM1aSG75EsKCDgtHudYD6ywoMuJmlHneUzZNPwgdmye6fK0fJquII6J6
9zSFVnWd+hDMFf3zN34oHlRwt5reJi0JP1gyxydg4umpmoPu0EgC5SjfNJs5qSefs6rN+V6XSD3u
x4HfE06h7oKHG4nBopaWodX2eoqYm6U/epEWPnsgp3ZyqLxPDEUCua7T8CjjNfweL8n4PQSztrfr
YL7HbjfeYrrtz91s5Td6CfHBhYCwYK2K2fymIdRMoH+MHCUJtOeVfjqU3rwMv/FJ8mMS6fqtTQTe
e9P7hqEfwlVR2ddlyOhU7RuLKJ6bXbvZsL6hxTvJpuiZyJw2qZHKFDu6ojOajWqVDluRCqInA6i6
E1GV8kwgqcp2lErzW+scGVyTxJmOs82FO2pyvfKnyg2uFh4SDGWajqGnbpy2UtEg/cOqTI8NHF4k
ogXeE/Wuj3NBGVk4TeS6TbfYW5rL4nuy+urFtgbvklcZXCfTjH+UMjKJcSxwpoZeP8DSzk4sKWPf
Yhm5NZYyZTGhWSwyoxFMKw403uqNzzXSwLFFqKju4J3a4WR+BWpB91kcmc3BGvEWpSzX7zXOvbsc
5ezBa+kKjCir3+ll0z5ZnPO3OhwCGEo4sPAdpPXBHiPzZvdm+oIfKPoUTuFB9I3Twe8h6V2WfEpY
nkNB6AsLlpwZaufKi3CVj7Iot2wzp3pXjXlyF1pq7hfGCD1O89pjkubxU65FKKNT9+gtJVhUTktS
hQRQ5Fee2xDOmrQFrGzN9uOiszRiI03vI5uQ/OxCiykeTBT9t2Qqo19JkoZPmNGDF8maGuYUisP3
EIIf4KXGvBf4QD/GPLff+5imdSz97pZ8aH40TVKLtFcIDT417b2beBidx3wynGvWLPYOk9p4HRrN
JCMZORIwvgjO9EyRvNFDECwSJ2iIpIBzdggJe7KbwSmZZE+WQ09rTKevwFYaNZ+6xQblXsIg+NCI
QrWkJhaWTnpaWtvEmKYrSOsQ5SQgi0TY4Lq4+fBVtmGyZ6tP2oGn2IEu9VKd8W5UcTWlWlAI/Kl1
alT3C+Igi2qvlp/GUBb47zl+SSGVVJ66MJDq3m1/BItLA+BSyP0w1tp5cZf+Mwdoui9FOzw3IY+h
jWPiTTCc0D2HdZh+yNijprTwZPgQQgInLJY18b62qGDjVsbFs4fxsmkrp784oxCXgVvkztP0Hs5q
Eh9ms+Sk0/iYE5a/9FrWwXRL3Mg+sBpIzq3t1vw0u/o1GAvs1DxOtmExQzybyvZptJplT9LWeWkT
b2CpPxpHFB2e14yoFxd0dKQLFiODZjIMsBeCFW47V4/n6vf/3jH+Dy3d7f9dW7vDz1LVXP/hD/46
Wz/2n8389NniCPprDlv9n//sf/w9Nf5PipjIyf9YxHztuo/m4x/KmHzs7zKm+AvmKdcFGGrbQAyU
Jvn7hE5UnbFd6kLgKiBZ/tdogUHqAL2a1m7TYFAnxf7/ZUz3L/wH16buzFCEhX8tj247f44WoInz
5Ql98wbGlqar+f3vZMwomBW9mvEsRGPM0Fhsuqp1bJ9A/Bzro50D+Shm5qy6SvVtmC7QIPV0trmr
m2BiRssZr15rxNt0QLYLCPCiQr2SId4Vw7BsHQeXXmTX2ckBCvY9ivuOzXVM/jHpQi3eeksBamRw
reWkzbmbbl0n1ilNFca+6OqFhCpHW1ab3TEpWOOjybmR6h2eCMSPR62oms8Qc98Wr3YfKAGHjJIn
3Hu9YxMaYnRmtIFojrew3ucSbdbs8thvu8SlH0d4Wy9Cu6WEWjtEieH9TFTUB0/TrO9BgTNkz73O
WiOOH9LKrg/8ZpxdbkwpiexuXM6aiIEre227l4tD14ORhSVWOY5T9Dr+omOY0afrImVuwmFmco/M
QW7oH3MfiWCGO7uuytvgmtV3Pc/qe6zPV/S+b2TQ7xYiAJgfsyO1nNdhcC4YiB8jrU9wkvc3p0jv
YC9xWLM82RvQrBc7bPBiwzjclzTIKp0wr+4qF1j6LkoD+6XDmrGa7gN9J8z4UZbJpUknF3dNbu4C
mGr403He7KnkZInReY0+MBPIkhW1Nt/NKIvfvGSCkr241W1pBVibRWr2S2Ym9blJ5vY42SRSaCrJ
6q0OmXk3ux0Tv1TwUzufnOPQ1s4RVMbwOuCiJbUFspiA2jKgC2riyopDO5Wk2H60RheAJLWoC+SV
hnO4GJ33MbPlhXvluIEwTg7f5ifiBxDhf8YAPXydVyUzVsn0V3IToT3eKr6RU7Ux87o6nRN68r2p
yq+dOztfPW9xDsDC0qccmtUNuBp5gnjEakQyk6rW2rkmGSGSWtiYfVo6csopvA76VOwbdICjp4+Y
1FB2HkEWAUWbEL3YlLHl2yJ4cq8K+nvwnuldNtEDtclSObExz8V1psIAtVgkzhuDUyS3rTdGJ0rq
5me0q+mEXVrcpMh602c0HT4gX4znILVNhps2OQzp0n0b82C8BmzOjsr98kIKhvodbIzjg6ElzbcM
2FaD7Ly09XaYNAvRAfg++OcxZ6QxBXZjYAian3LbAcg+utVR67DIFIvGlykse7wNtp2/mVxr8AFz
197W3O+wNYRQZEgMGOUFEFq9NVqkHSeRga/FuvvAccF2MI1lfJ+wsQVFYGa3sVu664An6DaJAVip
5Or4zEBD5UmK0rMxa1H+0NUTVO9m6nKkSHgAN3Xrx5ODjGYIhyKBIKXTYxRjKfiiRfIgFwNJhJKY
G+7j3kePKfwuE9mOtcZ0dJzRAfOmjdWjW5FuwdwEKzSHMDlUHUvglrXh3rVmIreencVXmQRy75Rk
FEXUThe96aKDbsjuSl3LSJtKln+zWKstBDhhM20lAnBgMjtY4NBeRJPL70Iu5YHbmZoi6+bZoid4
F5t46+JMxAcnFry35jFP74MwGx/dXkyPMw6sjjdcw0XZcxxYh7YvnO6o1XpzdMohggkf6EcvtYZz
52j1DUUuv8WWY73VGpZKHeTj52iodfkylfLI+KI9O3MvH4ZWWm8iqIk4CDIgl26ERxZ3TnKxdI+X
dGHg1E7BZpRirN6skggFQZLmLWYzw4si7btN5mSLb4jZ3ick3A4ySSPVij5usSi0bFBpBabiQ4Z0
bufBHkoDlkiMtDMFAoVxDfMY82puWwfX61xfsHDehbS6oLz03heYhs6+bmX/VHtNcOOPwanqRudL
PIqcHqIm2neyqO+l3fb3FMEV32eH1mBTyPyb7GPvm+fm+Q1Td3xgVQKdbgGlnCK5+PmAMI3V2pEn
2FW1L+o8N7cWqcwzw31/BkpZ78bebU7mIvJbVU/lNknjH7KZXJjE7ZlRlDOep1oelN8qYyHPM/fO
UwifI8ynmS4TJ3zBaj18Fi2TnN0Y06FrqI7bONhuhW/PC+w8PYuqaNOY47jXZoPgS8ee4Vpx598u
pg5Xqy/DLTdb3pG6LI4E24CeQsAwjS+UGZ2x3Wh3ohyOOdFXrJbhHaDO5shR7YsZ/Eee5PXRq3KY
kI1otmLiWudzZce6IJijs3NKnEUHDNrlmyjpCxf6bD/t0y7JTlGPfLwN6Zj2mykHT9A03yDfcDL3
pVNv3dHgCoZIPT437TLjsJCLL+vR2lPGh8SvNVaOKb70jpOoZj8nSwvfbCKYkzyBiuB1k/ftDTRl
9b3qjfQYcNv9Xrtzfp4qfjwFr3kwnySfl6ky76K2wsQKN5U0BZ30YpSHzmD3g3K/HIpRZl/g9f2E
Y8anDT6iyWmPhFl8firasSu5I5jhlhKy4ATqp9xOpmY84TbpzyzQ9WdzHmjuashlPFANPBMhc63e
oNlHN3dsFMUeU5CM8PFqv6agsc9Cgr3m/VFfHbfqj8aC1wgiYPkz7/Lh6MrKOXeyWiC9W+lGj4qb
okQRwsNkHg558MwvIOdnSvXspk4b98OVc+ebbR1xu5oot8lmA6/KJA6VvpS3zCj0axvH+Zdx0Ad/
iMJK3+qkzas9wk17lHYHzYFYu/cLdYVCZ03DDZKmJl0nBo1nceiOsS/cwjYPdhFTsmkW2pMTpmHs
RxNtCsXEcoTbHRShg+YV5RPzRVzcIR9o0U7LMzLWHAPb6KS3YnF3iCvJ+OAhQZ1Hr8keYarEnzkn
zryJTMU3mGp30xp2/GpA5vMTxt2tmwrx0jpDtp9ksXT82TGOOdVse0RmZ0OBuu6zn4YRjPR3JBIm
/d4BQo3XknZ1COYVWtrUtKemnMpdPwHOcInHAMppxZbGpHDbkAL6OcbT9Gus5E+IeM03B2aKXQ0s
ey0EkgcPGzElXX13XGif2halMV4d/PAMq/pwYS3a7MpgdqDrRjllGDyeWr03zkbtvshlzC8tEUUf
8drdYZ9odxErvw1LnXBnZVaxj7g1XbCYjSQSA+0QlKP2DDyU7h1L2MAtChsO6hz8BG5t7HmPhoeC
yy6/hj5/ia0SkdlwwxuaFVXYy9Dt6WgRWzvKbEquSWngkSBykciFjJvZYXeXAy0PeOso/KF/4tQQ
HvwukmHyXa0KbogEva+PJRsVjqhN2SbWfV/G6VbLAsMPa7A6AV6ImPK3ArQCQTfLJ2Je+6yItXJL
7Mvxo0CP9knnBCxM01Ej6F+aFwfVzxfNZB7zyRbPQeeRKK50667XZHCkgS89pPMo3kCbQgeSiF+p
PYynOAvKmzNmoCB7Ci3hEeha/MWKm+5Yj2n1pBtGt5skrERoGPRVOYvJoksxCO3G5XYQ29I3R6rF
Y5G7Ryfoeo6WCk9Ukbp3dmtlr0Na5Ae467qPLUgeF5IFJ6+ezT1pR/1UDJXYmWng8ahhf6Qq44wd
PODp2urdo6W3e+ZU/ZrijvPdrHnXqBMEixTdk+f9WlBfThigtF5pJLOJRjTNLi65tFQ2InQl9elc
0RjuUzvO/ncy49HvFX/a7nPSU7wwYIzmXTY+6SmMZWQNazdTwsd3AKC6Abr4W8vtj+l/c9P9D8zT
0vyzffrP97Q/2U0112U/SAH7cUKq2GiGRUXO4Dlg8914L/8fe+exHDmyZulXmQcYlDmUw7GZRSAk
g0mtNzAmBbQWDuDp+wNvWfetmunu6c3YLHpz7WYlMxnJQLj/4pzvuGm1TUttPDa+NT0oElxf4JzU
11a8RGf0M80r4rB054wU+BuY39EhHub6YbL9ZS9cg6Wsl0HObn3jpiRnKuZDm6CgcHgHROA7lBJG
aCUviGINg6KmHNlB9OWhHj1nB9H3rFRifJA+FG1tY6qumfF0R3Rs+Cs7k/Fs7e7CxjdfrGHwzr3p
9kEKzGHr8dqDMnPdKyfPsj221xbvSKOWUxt73huVenRwSTvbmKl+r0b3ZuiHe4cKZTMz0Nz6vjVv
3SWeb1FpMfHOlssEqCQVuIJTIswWQG0GvU/u84mQso2IWvcTcQVGc5awmHvmgqJwNxpm9Ywmipyc
OlF40bE7jJdQM1DykGVgA0e25G1VdeN1ly/EKQKcCH/NcWZ9uYNIPutwGbe1Y3g7WB4W80zciBsD
4caCr1DsqnmUZ/IfjaOLkHXbpUuFkUwhNtvNlZi+xm566cBQoO5xk73TFvke406+HyN6J1m7LKPa
JfkValeN26Zoe2/DAJSFWTV2O5ggyfWSldzQCAQvGPzKm0S07CDsaUzu+KD7p8mf9MmqnPG0rIGU
THK77zrGLwgpXU8PMewX8h+oFxBmIoDxAmUa1aW11tnjT8md/5TfIJyMM7cwRXla625VqVh7QS//
43mM0TZSyds/RT3QIKwmP5U+KjV4tGv9rw3VM36iJ8jW7iBf+wQQWBbglAgSXpdqk7gvv3so1gaj
/ek14HzwBrVrC2L/dCPD2phAF9U3xU+3Eq6Ni25JoS2ktgIVz36zs4fG2KER7GCWry2P+ml/ECyV
9bFvvCkgBtUkqdf1d7NTp7zhGQ+un7EbiVzTe4e5bLH5AI5qkal040xtepjVTKiFWvutpVnu69Zh
/GnUdwYzzmNt8AOzCcq9KwYG7lVCpWzgxDc2FaXwhTeVzRnrcLxx2rAnTDEFeRIryjCCfAhOjCNh
PluMDQNIfvaNr7T31PAeIAFeW8ZsbR6znz4StVz2K85wTqxNJuGxaaB/Ok/504X6a0NamyS1NWuT
OqztKqu36LKhg63XVjZZm1oy1LxLXuTa6NLytmvzy3pmvCF7BZ752hq7RqReS6d5ncBW/5ZrAz2s
rfSyNtXl2l6rn057WZvueG2//bURx8xGT56v7XmxNurj2rL3a/M+rW08kiM6+nZt7onDMz6WteFP
OaTRAvO7Y5MXm+FnMpCtQ4JhHRe46+DA6gf/P3GGmH/PmP7HgUptiDfL8ry/L6gR0EUzUZzqgJrn
fnmxX5p346W501fdLdCF8trI/7NE9P8N/WjbK0XEY0+P8F54zl9HbZp5AfTbJDzg3Qt/51WXoK5w
0vkK7cliBRSGNfabpkdcxzj5t+kueAacMPteTHfCzjwn4R5dJfE6bPCZYC+hzZVkIc0Wh4Vd4HPX
1/JBsvDPNrKsNHp8h53rrs/mFlt61QDva8kzK5fpxMXMx43pwEZ66g4SgWKATuij5xXpPndMlu+r
Mo+gyOUN31l46nTIqqVx1aGfc+MRnld7OZAaeBsXI6LMfDCX80h9dx/7cnl3dJJm21xPeptOSfvk
RPb6ccT/+Q9M6r97MTrIG/5iK+L9E75jklcuwH0SQf7XH2pH0iq9XmMc5l45FyVY4h6MEywHw99Z
Fu0WOE73RjirOZUtPtbeZGBZYHnma6fiuAzayos+53HQF0XuzGdDmd2qxfVfqO+qJ1vVlwNruN0g
UDNRA2vUwX0ybAqjzvhopjY7Pm/OjqJndrAJ+5R8BRkZ3gVu/bLa9TOvivA3stlI7gI7yI6biK9e
Ar9kXenC31yvpvTnmlp+riy2zVxfaEhxNax32n9P65GrUC79+5P683tbsiPI/gIAQnKw/qk/VTTq
D5fzSwlMapatkJH/64ze+YPny6VzhtTmKtfnU/unisZUf8AFws7GZN/EM23zW3+qaEyTyT6qEJ/f
cfg/Uv1XzEZ/PzgkwWCe5eIxQouKXfVvzzjFsFF7vU/wZOcesVtcSw4Fuj9QFFSBYX87Vtk3M/J2
808/pf9D1ckg7G+fLj5QmAQRCgnpAhz/O3gI2KW9AriHnQz99itE6bNhp8XSS7ujGZ0ssWDSTjBL
IXRJoORPXc1GNoc8dpWYXf0NtwnsRTZj8iY1EddHpebqnFr4bkkbAKy3xXkPVlB0s2L73iA6G8RI
WpMbWkHcEp29yNG7MKJe7iO8GgtbXCSJ+RzBbJPtNQN2uZW2/YH3vSRsRO1T6LtBb8QjOUPlHRUe
o+xI7KRhCXRwdNXrdX5nT6bEXzCN9pWJkOEmj8zsymPlS3E1pfrKVukDZBq+XzhP3WGyZcHErtpR
I1ymdtr9WnFDSEEXcyEvDHXSJskS/rBm+xsUVTOCMDGcx96DjxN0gxld46/FmE9qQkABRgSKTLBk
1xbNqdW76cZmHfDEBMy/Y+M9EZMZ19sorw5MRYbbuWqY0Fd9/NIL8muCDGv1mpBsk5i0UoS10fXf
4WRRapWVD4QjSnv/s6dKwxajpYFuAEwEe11yhyPG8XIb1nZ817FwhLfvUExDk49S0kxp9A5KqPhs
2UKfKQzLSwD/UCMNV14x5HauRbIk8c7KZvemMTiiIP2Iy6SbhmCoJ+LMACCwkEXRi6Op8foLyZQd
51odlofKGabLMVX9HowKOR1t6u/TpF/O5TTWj02pvCFo6o5G1rPd6onpHhqd3lAEYma6xvKhRr+6
AUAEfiB2sgKv9Tz0QK3Kpgicrvb7zVgNzlEKkeDzicXyRFEPWQqLVIQb25pNcjnqXM3XfB2ZHUCT
zS/X8Fyxo94od6Pb+zdUMwwgBA5l6rFWsm8hs/U0dKNDgE9ZpeMhQryEPEdYJLDEHkiJKqrdJ0IN
PIgD6SzDLezMEM5or9RGgllAt+XV8ykkxZzQq8qtfw0D4QlNSWAPuBPxEokq/gp7r/7gJ5PcdVnp
ozBxiUpp5nwud4kzxC/Qd1Yk1ZBEeysFqrhh10jNZg18l8WKzaMdZj6ec7KR3zR4rQu5pHjiQtw7
kC3HFE5qzEx3ZyWTtU8RP9xbFeOKErsVY1HT6pcto0VEYauO+6MpPIZ7aaTr2zE0/bdOVfEznoBc
7RzVVkCKIHXChI7k09ibsE8Hptq7AX85MQl996gjH2GTVbbyvUnQlGwYgGIaNFtgoDJPW8HWrTG/
jC4x7+O+Lp5GNw1vJdqCl5Iko3ETY4wADKBt8YCgBaqgQ+ZHvUNKUdxXsnF23YzzEQpiVGNnSWWG
Ic0e8BVCeEQpJ9vcMLdyQpYQxaC+drGw1AGIDWQyjN7mZuyVOM5Yt8YDebXtHf4mojP8SOTnBZOK
Cbks5BTJoACwccq1cT3XM2kbZqayp5TyAu4hIBbB5NhjhSFa3GjStYsjlgd2lqaR0kDS33inARLX
yOayYOpVp4pgCAZwN+DX3CFosatmAR5ofZvgTHviLXVRlcliHUrUkv2WbNfownjr1A6SFtstbtkp
pLulxkSBU2hqXuyOionDTMyvmpXxG4c576giRAd/k2eWbgCk0vCDZoxSFBK4leoNguMJQo/QPSCI
iVdq1P3FEEHGxWKZroozcrzLYAyxjsEVXcYr3bN1yEULmIwmjpVCODLePQqyzl8Rm40Eww6uW++E
aZTOVs8C/jeJvTeGq+pHBUqaoJJw9BQbp9J50cSXfZLJ0q555TjgNonwDQJ5LKKKgzqPFxfyIyE8
JyZvTBM9286uUHSL+KZCWhLvVnvuRTXKKD50ud37zM0GLJnzYPLpamm7JGjq1IDF3E5hMBP30sF9
IA6qK7saqxCsj71jM8vfknvLXCskjN7BcpW2NNlQTmBywNrIgkoLnwTXaqZQnt2OLzFdFwhqq4bL
tiOFmLiT5YIIpZqpkQpBIDNS9xgpQHZtvachbYuLERzGGa0iB7FAa36U8cwNmhF98Uy8BodepBJ9
5fSZIrSVVNrHpcxky4wjbpqN7TrEAgElu58ya0XdCJieuhYZapTBa7/nYYxvEZug5EvKFCIfkrwr
BVtgzz90DJhxFc8lDoeLKFMEuqQe104k82htEZZzYZWMib2hI4p7AozGK39f+vRq0DG5SJ5YbcIU
UujS3PzKCYeOORg5YnGQocoDGVojLDiGeJxx7A4qfBfR7GGJlbQcl5WcIZIoOcbPwp4gGxWKjHfo
NZMaCFzh3zaF8fyyUrYfOH7rG9xo0HfFNL9W3M+XEhQ3LjhYa6/FMGGRNrvFk4wZIaYEY4pOILAG
s/E33bzi19k9t296cGnYPWO8Cgk5uxFe537hUjAovpPlkQwq+8OXRkjUpZAJNrH8YDmr8lFVPXTc
lojizyUZI6SQTee5ge8bcMZ506zbxGlgvlbmcBrIR8wvG3byry4ixe8lC4s4MOMG2qGZZ4ofXIqq
INn0E8i008I8viFaHG/xbNbyndsluZWmGZPiGdaFyU50aJd8W/U1AtFN02XetQi58mGlwgA75V5J
OpJht862awd3O4HS5UOAnnXqDNzNlh9eVWP1PBZtjDgNn0KcmhVpLVCW9xQGpO4NPUPlM3piCeXQ
ZjjRzKCFgyLEUwZc0Ki3WDYPZhHO7W6oDQQZhaU+Gqu3z2UMm3IzEZPR4k1m5dwYhgSuYr42rJkf
s8l2fqvM8vOjJ3jMdj4k2WbDPpSrysF/8q2kwYSlGTxCo8FvKebCMsK6DOMcS1wWhYzdpyHl02kP
SH61tlem+MggZScUe0dSJCejOg+j4zzrvuGJAoNcUgiBYgocwbXX5oIVu8L8lW244M3vNgvJkjRB
0L8kbYkIxcAsei2TpEOsMRfjjjSliK4/xkV+mU3FfIHZ0PgdMmBXGwhhSbZhhSOC2s36N7tZMYQ5
S7m3yJCVZAE9p++TJieNQPICOaa5GOZ9qWrHOUYjNBMuqkU/6kwTJjQbnd2d8KbaONIhT4RsKtM5
+jXbwr4TZb6ofa7J6twAwGBpP+CcO/XS8j6LEDDM5BCh7UPZb5vaD+yeKB53dOJnzZ5p4xoLFRsi
ZBIiiw57qJhbCMYTCma/RBq96U3jYzaj+lW45C4CQNGOgZHTX9Qm6lVBLCLI8i7EGYYsmG9WR9b1
kCowzdKNUbmMyPbdmWnRVB4j353SzZwq5zZl2rUDmKT2VtfmuxUbw5U7hjdEfrsVhxK0NoX7HaWZ
+cyTaH9rMEW7dkxsPmGV5994QwuoMJ40ar409+4Wc04QpLN3uDdmk9j5QfPz40PxNOHcQnBLZjcD
py6dn0NHdQ8dC3oB4t+dWFHKqKOxn+vh26ca/HCg1EkMu+vCp7JD0QWQsdW3rbqxJbohjh+ceq64
YuEv/CLgDgWohc4SuhRPIeIFXcZbk/y478Twpm29NMW9XjhUNnUZotyFKuVBkC8j0jnDvp+s4+DY
E+7ubJoviI3AM8MQa6QP4KYVWYxt13VmO+YaK5v8qqCaL7aEjkETdbEB7yJTJvd11hh3FSj63eLZ
jAUKDwGmaFoGyhZu+cpPbaxbzaBRsZTSuMjyEKfBNJPjxUMs/YcKKQRj4hCy0IaLMm+2aKJYtFRm
k+OdWmSMrxUvfbc1nJkfredUj2ZfFPsaVqLcDVktztMyxSPm29WQFWEWfcYACSu8wLT7lbGuQpLt
hVRFpfEP3wCBgJtIW9UTC7X8QSNC+bSKqDpiLJvqEyOT8qWkM67w2bZgi5wqEuh6a/dazxkrIxvi
qU8QpDBxXYyUhz6g2ZafMvy17ahDMH04VDDoO1XV3LZKp2PQFzyGIF4XCuzBoM3pnFbc4MdozDP7
dEQCM9kaDx4Ino028i9U3mxjkDgxa2lND7biWKDqProyMi9kq92rCi8xW3D4OwrnghIXrAF54EI+
+ac+ddubzo6g+ziZg6nKgeC4Gaca2ILlCLRWCHQCo0o/WRmtShVkHme6ZPdWpiUuaGLaNdr0Arn9
1RRnjyuMe9vTfO3YUh7KzsnxdRv91kJ+C3JfXnd8AK4Tg+HVLHtChnOAFZVH+dEy6UdX7PXZbpgX
GoslQes/4NeYRi322Sr/KhH930ITKG6Kua22vUnViFZ9bkO+zUzSXlWayc6Y6UVwLFJcEMtxjUWo
25dVfiTsAY8H9SXEWn1TylY8iRJcLAdsSgZD2z2X4ThAULLkHcNLUgnqdN675XRN6DAzPssd5LFy
Jv8UeiG+Sfa1RBwSlCTIZ2mSs2mi4Cd/Ti070earAJcYvWVsNcPy0A+DhcP7S3XeoVGC5QS7lZto
HAHMj6X/WhmjuvDQ2L9YjYw+FRdogJiQ5iyv+BJnEHBw0RKz7hzbzLhZpO15wWTXExUvIoMHdiYk
18FrgyhGqMTDyuU4k71NzJ5v1EePALTH2muyt3AQC8wSMRvf4+CV3Zud0QZRACSjtS9DqHGHNs20
4iS1pi3BlRGGZxx3n4bZt5ezGVNZjrHPBZZOUIk3iCQyvc9HqsksVf4tw2iV7k3VDLiWNJbWWNQo
zyGhkjAHKWJygMJyZ9YKzDqOB6av6LpsjTvBlshTfo6dnpf22ksQE9tpSBDzTZPBQzESLeEyLadN
2FepjUrTqrBUBbWHBWdjlyayQkTIX7WbWOHWsfxs3ipiWYj78yf/WDS6iwIbbyN3MBHlXyqyc9YF
Y3zudKevcGUsWHxETGE6mKn8aAunrzYO2hjyBB2SNgfbvnN6gRs4Yo/PRl1JvcWPGc1BXXfoNZKC
3G1AJSHNecoK0cKjbonLoa3rIz4RqqdexQAlK2PqP0Dzq/7w/3b0yVD6o6qxbTC9+F+Hr+rqvfjq
fuTK//af//rL/1/UzM46tfwP5qNfCFL/Nhz9+SN/Dkc9jIRkKfmmUEh6PJP5458CZoe8NxsGEix+
y3bsf5Iwm9YfnqB78R0cP570XfYvfw5H1R8WA1WGoyZTdphM8r8U62bJlVX2z7lu0J6ka7qCdDkG
jTZgp79ImP0hNdDGmORDhT2DyoqabCDGNwnwuQ2XZcr8KhSDBdFvqRCi2P0JG2CWB6rwa7ZpRv/s
aCrJTani9EXWXAw86GV1ykNTViwCM+XhR+rLfeSO6lrEPehFFJI6uWzdpvpg+T+cu5L53sUgJOMF
VBnDCPYjJFTBWWDn7XpOwnLTJXU6bVM6uC2iwuizrF232KpRERqpbBiDmz5fDf/zOE3lWTNde4Td
QWwsyUXwRhYRntF0tsMFhA353CzawnZsqYcuNvR1tfSozsZ1xCdLEV2MppIDU8kYGRQmLlJLzWy5
6kpdoqcyRMKsDBrseGFRQQoMSmGLL2aOrXtR0kTts8wnerOZ8Z9vsshkRKtd4ZUILuIpRFJFetLO
jRcQEFXhIIboGp3ra1zeXndpSafvKEXJjQ/qih0UOjRzgkhEGSGCJC1qDHgQNBDeJIDWk7kFTp0K
91jhrHYCSZYrzYNOZ0ovC7VYmFkJosB+ynuY9D03ksZEoTdS19lHZpAHjq1ryKvt3GV8AyciO2VN
q7/OjBACUek5D7QS43EO8VXRyvs3ll7DbRI/badd14nq0bJRzmxgIE3hASF1dlG3k4jowNrpSdSZ
B6dbyA+ONaxGgxxcmOvDxI9GRWqhHU9lvhvcznqGaj08Uxg4414T/4JKCk7YgMPda84Ad8p7JwZ1
y4gFwdWmpkLXJ2fq45lkpojG7efgdH8O0WE9T4loqY7uesZC8Oa4HdeTl5uFQ7iJ19kxLjR9hSAx
porivI7Y9n45P4d4uLhUSMxoONy7cPFPDgz2edv8HP8IsUy+jjuh+bkeCinsLNCLX0zk8K5XiP65
Tuafq2X+uWaGnytnWG+f5uciopEjp1QtU8Zsar2qmp9rS9Tt8C1/LjNupJL4+Z9LjsgVTbzPeveF
P9egsMvwtljvRuvnmmTkxmdQ/1yf7Di4SiOLW7UhavRz+LlqGWIBLwrdgbTePGUmskHOo1j9231x
7/uJ2nZ0Hxl2AnD0tDqUh+lTvfhXOZmhO+LvtEfikPTrs7AYGwwenKXZ03i0OpE+lZYWBwes985L
nOUSbn1Oy8zF30xW2ARJpj39a/bL3rw126R6ajWO2BE1lOmOegh8u6/TC8cvyvsoTlEjd/N4SENm
Fic8xxJVYOr+EoNKyPlRpdB8A8jbQPONpP5tky11aY0m9lY2DMVwgfIqm5/wdpP20MzzKEgjmycJ
gXwQ+DM3ZMswfyxQr/4ODRIM9FDK3xnR9PCNcQzFJz3n5XKdZLk5ByYfmWHvu7XEIKiiibbP93tb
nchQH5ZrSEAz5CzDSJ/6GR8FJN3epUKZ6BVSFJPW4CEQnznmN2EXM42PMohtCqv2ezXVpIKrFD8u
VkZmFhuG4jaN8+AEnovNIdn8T7f2ZzHUQ7PLiqm+6ViFHsyaWLL/vtz/r2ACPh6g/+hy//X+Gc/v
/+Omff/86uK/cAT+8Uf/cckr6w9CRhxud+5RjvK/bkBNW6xrznUxav2bTcmSf/yUA/iGHDDO4FD/
9Y6HtijACHAzY4t210yV/8oClIxM/qq/XPLSFBLwiMUa1HMEIpC/XvKJafgovZduP+UDSeSiZfJr
dm18zXMrnmK3N59VE6kcGoiXXyYM/cwLVdb9CaVsel86VnLdMgBnFKVn59NNMv9hKXu/RtaJvAs7
BSuZpyhCLgqsoFJP0A5ZX9SWtZ0MW7Dtye8aWv1Hz8WT2MfDeI1M6IkRzGTQtWoEn3XxEC1l+Tm4
nn3diiI9WpyLbGGW+NRGBfHT2ZTjdPFcdOdd3hd10MTGwsx77kHczB2HW89MlkwDyEzMooDRDiEg
wDSRecVF3dyVkyyWO5LJodrIeCnua/yLIIlJPbkvzIqIs8XRLGN8pmNcTo4VjycrysdmY49h/QlJ
fyBZsClZ+9kFB8XlMJW+fzGGCGTYFKKXvZ3nrP50YJ8lh8ifsvHJMCP/s4Lw/XtZ1WBHq/WbYofx
OGPNqA25T3wkw9BvMqu4dpVX6ovFcMfvPvT6is63aN4IxDMfKrmGDbShurUc+gDCKQAn2TaWWCOu
xYH8T/mb2huZmi0pwjfg9ppok8eSgJQYvThLtbbaww4HjcYNwmSQc+XB6arklaS16BPRV/sxAfG+
Krxk9oicbPpdCHIGC0BR67PHhusAIEYTT+625GuMjcOm2EVrkXfNCPk/qZejO+LSisw+urRhcWZv
Cw/HHVAYojJ6UQoQiFw4lZFbQb+w4drU4UyfJ+woCeoBqWgeobJijAdWx8ks64Aok/U1GP9LZJIf
Q8HTghosi+CMV+xJkyi9Vx2wpY51Ls4B/t2M0WWQGosJF8mZqnexcos6UFDfUV6oZwSCPOSm6DL7
La6Zh7OSGwMuuN+2WaEZj0bjiEsLPRsN/0GkSx9v+8JPzrIv7lbbKTviNr7EN+zeooryX9s2T35F
zOjkDjV7fGh6T9HdEc8ZZMLIXyiBBjSjljv1G4lFKQo8YiMS9vT4m4I8zTFPoCtM64uutI2DpxbW
aDPu6kvA5wmq1PJOpVrsksp0moOT9gDabR/XmDO+to5HNnjNFCPwtXIx6IwwUvcrTdk+irBY3klw
HeJnnH9xEiRT7LGvjmXK6p3SSZ8EZA+GbcNiw2wuRFKeTEsh74TOEb90SMeR2phRD5qSzcZ02cy4
q3HD6UZj/MUNuAdDYmFYNLR53bWJ6bFQa+WrTawm4YkKEk54CIvBeXZspzGuXKeL2z2Jn/Gwh7pg
Er6C2WYOMsk4eK/naRbInXij8RWU+MA2thWV05XTIAnHrsQQixCUVJBh6/NVd7HS2aoeCk393PN0
gaT28mzah+ghGeBrpgNBOftgE2uAAkeC4voHkebuCZVK1NxnXTWrHUQtP/3SwMIvRyRlfLC558ks
XMz8qeWFWgHUyOwr1xj6aJDCtt6s80bImWTkdDxIC3OQThFtFBDsid29WPLv1k+boJC2jnagTrLu
xJPJeLROWMWZfuvcMs0tr8rSdT+lMZXWEdWbn1wMjtv+tv28JaswZgXJTIayH+VDwiExWY/YFcxH
zJCMxkRmOntEh0zjRN1EyCFrZPpEggDOJz3Z2oZugckIBjjR3ByQqLKRTTZVwD+R+I2kxgqexTYb
1XzKQDKCjtevI6SJXyN78+fKS2fqclfPrLIswIitjTiCScO04xwCOD/huztKgjN+jX7j30C0oF9U
KbjQ1JDTrTsNpIUgqb2DXgEZTKPRQHdRRtUpZOMCojGfzJPZzMm576E4uUbbPJilZT8j7dJ7s2Ww
DNtKMgjVDEoLrshiNxlCQNAcc+QU1pTuosQgipgOYjiIefAv66o3gpKNAfuHqgDJAkf92uir4Z39
2fSGOsSBQb6aKYcR53s7hnfclok6NHj6HioznX43DKU+UXjoB90Wej+65b3PsTQxivR8eJ1jdU/q
C6P8DoHJRdMw+T3QxEdHcodIr2CLeyCZFd4cjgSsbi5VZrxX+bi0my6XrxG+0wYkV9mdMzmrbx8d
xaZMKicQoS+Oad8XbygIUXBUtOua5fBg74h5UpA78+pYFGOFVQl9jUuENAqgqjfT/YxglcM1YjYF
H+5yCFM7DqwyMutLMmphWHXtUj02uc49NBXFKlkZiWSpnWE8k6QNFauCIeJCBuiTNxcOGHLweQ1V
yvzrsgWYA+VGfXA1t8SbRN0rRDsmo3qa6ot6yqJzATuR14KH4M61p/YOpwq/7mHNXPNa+rdC++Ip
MzsmxYOuljvLo75OIOCQoSg9vBrpl1RWDjsRp4EOi6S/4t0rXwXRXuAOe+OQtr17qCyHnMCq/kQm
stzErGGuqFwmkA5lwWaQIUXjG6uVp3IYRZhDu8tgL/J58yZ7a4pE3op67ZDIXplvzcFY6vuyy40L
y6naN5D3PGCRM6z5tlVTqK1magzXXXb9b9mMDvqNerydcoSpJ+S72Uuloyi6njGe8GFMnfJ3pbv+
I4Q8zKBiqpgGdGSZsvNhApwiRh89MsdnFm22m3sXNY6/mBjHiv+dY3gdJKhEHGbC8LyRgXVSBi4K
33iThb1766RWFbia7BGEGrYJW6Ur+x0Zc0sV8KeLbU1hxhCXIOPDvOj+2618eols5NdkOwzfru7H
EyG99aWWrXfh0jPdZlU1LugbZkKB3XxMH/OyKQ9xU3TnBJ/LQchQXvitx19Ev0ZOqZnnMZzojsuG
EfnYBR7GGEYmMb/pk8HiH9u06NiIkgbw3pA24OyayZ7fk9kIP/puwurQdWMZ8Yl1IMda0zqmNg23
PfPG085b/PEyaIqaoFvGIOV1Q4bsHYVpTCgDHFfgsCpCLDTkiBv4O6OD5afVm5+RmBa4dqn3dNuJ
ybgDqnLvNvVrWfXYB5mPlO/ordyzE4bhuz0M3W4M24FEN8cIz1HVmO6mNllZeLykHdLhZQ5S7KHP
vYqaD9gwzbyxK1BaSeyOsN0YjpGSPU+rgKF8qPyB19a2FesQRTx7oOukI89rieydhcnqhlN/3rat
5y9Hih1szkKE0SPRr+u5ozkmO4t0d1n4OOfbkKIJU19aFgGhc82bSlKuGvLfl+u2aFxnWw/T8N73
lbvz4rSrwFpk2bWdWK0DQbUwswBxBFxMyDHTLwyONJIdc/fHaOn9B4hKmQroBFAXzrE4Qh+HbD15
k/MifHeM77Np8G8aB+kQuC9bIYEzuD5WZQzCD25mUNOzexHnFUjBpOjV0a5sbJkgsuiJI35mR5H4
48Hte6fbuGbr3ULlMTAvYUe8l9w6+IOi4Sle+uTeni11o+eIui1GLXCbo+Mb96iE3Y6SxBCEKrNd
gic9RvIeB3RynY4LiGBBbs61azfZByMf+66pOaiP0q4itF2o7Hbu6BqfnHjpnvtZ7gnFTb9Y2dRb
SiH3kXFOZe4BpMo7MWj5BskYHYYfA2CQjdUCQZsRw8Sy8l4zcCo3hWiN38T7pfdijtvkbHV9sSL/
vG/SLpP6Ej9vFcIed4tPm0nU06Kn+Zgv+Xj2WILBZPJiQYw40e3lXjKdn7dJySl0bJpCHmcUNo8y
mvNxl3d1dxC925+LGAS2NycChRcOaUyrQzug98/zC5EVOg4c4ObPi2JWS55fPfO1XuMxEU0wqZpV
TSQYZqStESXtTpdRcib2V5zMYniZBJbWEMIC0b7zwAuxmrewIi2Dq6m+mGImGklbc/I4kXOL3Q29
7GzBnUlmkPOCw4utY/xkZabCiMFqkaeQiVTnf1eec+yk3Z6mKIx2jerzvWPg2lM6xtaNXPMrRNJ1
jWiV82/2DTy8E92h0QOIKDCLszR2nK01jZK4w6q6mXBInJq07vbmbJRHs9PZuYm84UNnfX3rGXOo
mMxRGrGfrB5YmkR7yVrrCBk1eqOc6dj5xndJydHcDbzQeSGbWjNB2nhjFZ5rF+9z7ZMRM0VDd4ls
gpvaGJetTvQH3UN/MivCeTbcxBlB67r/zBomTrtU5+qUp7F6Sxu2jtuykf2F5gEJDGNuzy2CD4rF
LL3wu2x8X1TzudQGtVXuhOt1SjdWx2V4kqAgkFtZC5iaKNqjXKerTVA0/AIsWe5iD/xNQ0A0vh6m
ZwCx5W1fiFkFDXbPs2yy/lLAbDvBom/SrXJbce2S1B3kRiov7Sp84LG/lcRDjdMAJlw7CHoyhtj/
wt6Z7ciqrFf3idiiDeA2IfuqrL69QdWsBQRt0MPTe5A+smxL/y/73tK+ONo6u2qtTIj4mjnHJJQX
UQe6p9YYfSKTWoQOWQwLWS0yuU0IQ88COff5K+ohJEex8AO6T4bgfqleSIievtI6m+7xKoKi1Qm0
v50X4R6ECfG1isiZ2OsT1mVuw2n5wG4A8qNt7jLGofuo7Q69YUFVKHushjo+S5Baa1gk5rV3QELD
d720twXki3ObyyJUxprTBgwv/kafowNbIh8OJUu1m/vZu6XQwy2BnGad3fZPRcLvtjzlIPk1+52C
s6t4RDVoW0thXirhjs+YNoeQATdIwT7XOiLOCKvvDJPYwKJndTZb7TeRn/Eu993p7PjR+BTFTk6f
0+m7EfTLoQH2uIOzId68UvkZBtw4HsKhGRZ9SzVyn/M0qm2BCwfieW8UW6UpZwA52JdoZ0234wo3
VBIARnfphjWr/kRDYBQhVJLhr5ujX3124wk4lmGWJZ1Jh4+w4zb5bUxtJEyUjO+DXNLyc4qxT216
y0SYCg+qju8LXECvUTpUlN9Zcc8C0/w0E03cmTI3flvyQlG52HnB0Jzv4djT3exgVdNIwJxNXzM1
jQ6axtpETVG3ZXmYYuVt65hFOuZPtbwPSe0cXSZAx4kYMfqFySrvkQiZ4rAOSL5iRzO20DUYf9rD
RGKcZXfcYV3ZaU9GuwY6jYONC6vH4JK73ZeJfw0EglEcTCf9bGSVnK227cotBqss1EfmLPR1OQrU
qHKelTt3LCIgE97GUG1bFq0NyV1mCzZm37GS0nYWwDl4EKuw5hWTvqnva25NC4FOvpaMBJWO9Q7T
jeSDIFcIYXqLnhvjiK//rfUJ3AjA4jd9KlzWLbMVIWYB+fCelmlzYoJTMrGVCgUOBLD8pLnSKp7H
NYGBefYgboop6dpzlUwgrjFUAucatTGYmUrgyQeXUqjC3yraN5BruuVyIqX6GFhYlG5pOptPqPhL
tRtH1tZZ3I5E4lnaMww470YTC2F3SFgAf4IS55VLmwtHvrDPqi/knRFZ9k8ue++NyQyKI+4jKuna
2ZckgF0cv1Y/dhNDuUjZcNxMas0M95P8V2q1Fh2UJ1MgXkmDyNtYUOJsMuDSDhUfAwM26CZ4DVGP
jhEiXR5vZcaknbawj5lH5EjtNh5qWIQybYlbjcxOVn9Wi+jiDGuUJU9KyADlsEyQf0YE4FmHlk5M
7thke/l+cAc9bDKncwO7qft3C48rpTLceO4ccOvPwJIQ30ZMLO9K2hf+bYHNPEgKHswN93QmToqN
/RdQX1yQfRJjlUAeQ4XDFTW7yGU27IsmPPn1Ot036jdRGN77IkqWeEhytPvKI0QcHQyyqGBEmbbz
5o4SFptfc6QSx0W61Gw6o7knj7cola6CWnY16jH8h5+2mut9KXoBCb30bJougGe7Dl1p6KSe8yOY
f2ihNEGjChy6Jae86b3LFmrc3hA9Ky0lrPvC0a1DXrCe4gm28sdSy9UBFit6tqSh9whMP4Ykj/K7
vDHkqnZpVcFLUhBDVm8HqMdqH5kFiLjNSDxWfZRwQTCDF4bcZxiMcVWByP9g4wrdGo1T+9rPSMjw
Yk9olUZ3lYOahGQiiCWJpSFSiyq5zxPjGXY/mia78wR1QhZbZ4IqkPewxpVfJhtM5hbppBm7OTYg
zhcDDpqTTxzrG6wpmi4eT9Da5P+6jrGx9Qk5IULnfVGa4sRAxE13gC1LLBp6/osFwbxFwsSiNM9W
xQVa/0bcpX3cvRLSIt/UqEM46Ml2468Jak4QPeCiLETabyDN41E5dTMOsU3XeIpd6RD7z1j+6eYn
k+NnFob8juaRxWpvmsq84ZzAeYt+ini6NnMK4+hNBNntY88fLKJLh34JUzm5Pw37shd8mCAfspS4
SIJJGOmtQJgZ8Lpg9kgvoGXbrG/QLiIEsuKvyU1dYnIaZqUsSb0LHj4k7S7nJwc2idKr+V2zljCD
aaiHTgkmMMhLWAUbkfRKD4d0qC+yyKeRIW02fYhIRuHiqv6DN6kxbxodBl5cx21/U+smivdRcy0/
1Kw2/o1QtycwJXpJsReViMK5ljhXpnLKixdpDfZpIXsWOmAPlDoYuSaJqBb+uLcF/gDNbFEhDrU+
3wBJZ6lLF6nFAftchb4ur3K5NcGNPqAHyuo91ocSFV7mt6GC29JvB9jxt+MErjhoOrlslS7ZNI+s
rjhQdb+zN5yq1kCY9rSDxan3N/PolIoccG6ZIAfJRZB3ozNMal3BObAkvndpl47qPudmowVDYg8/
WCJS8CyCQPaVh29+o48xw6K54g8ca1Mb3bYYHaJdXhh/yVL0HhvPNZg8SjT/tlZ1U6gnEkSJk+Q1
NIC8bspty7EZb0SntIeYVsN7NVM4mTGgHBoYCYGISPVB29HW2+lfm03nJ1RUOKASJ/YjU1zyqChc
FZR2N33McMkcgPYnwy4B/vRao3M6k1AXv8oioZJG7yrvc5W/15oVbasUzttRcomQ6W4iDFQdpMx+
isovFjrab5XW87OECqyRe4MUfINrppvPsCNgME1eXlzoIScPcMQ6y84G/4dirvnWpVe8LPrUkH+w
Ws5p1hKYayybgg40uQLIBNPFwhvKoZrbfwxNjTumFtZuYqBwZqRjg490+vtWn81VvFlZACfdcTlY
PLiPnRrrxwhmPfoEAKdhYsbmU6NazuwO9dFzhiFuOieqr3cL85V4t4zukASF1jKJMupWLLvIxvFy
8Hh8sSQBh2JuiflbXhg2kI66LMaw3NQY+sShnRyL9UyCSxVVhmkcwV09JWqNcpiM+YvwHmLJycCq
dXznnlry8YeFDMJxqJXv1GSTw90mE/GU0Zrgc8pQs6WNiJ8bWN7P1KL4JnQ/cbVAZxWF8zxT6k24
evWXABdqUathDhB4rV78MVtStAIUJ3lYiolhP6oF4PomHmMMynZORdmI4v/EV3/+J/tZm8hedpX/
b/HV7RdheEDeu+a/KLD+9d/9azmr/+NjpNERJ5Bd91+Ws+Y/aJ+wphqOhzsU7dB/2FNN8x8dISpy
TMu0fDyYeFr/pcAynH9QbDlsZy3TFJbh/a+y8Azd+e8ubAiVtu1iqbc8XGe2+9+2syZNzdSZ2rSd
u9ocDoIdCZTnVnQcgPbfeK1Yke+6vkWe5TpM9q6aX+Mq/9VcLd16ruT5Ljm734vZ9v0LQgdUwSR5
mj+WYjmM3ttiwGXjT2uuQuT8KkomqiOvH5wmTd8020ljxhz2WD0os8xb7r+UCNDKLlGeNKWIzNDO
R0gvMql9D9CQyHDBDEjgV2c6Yup/1/NTPONrBHQQ35ddbPwlOcTeAqU2cVBlvX9Uq1zbzBLNvPRQ
0tlGJKPt8DYaKrsbm3q80a8acGeVgxvsJU4sdxwvbBwC5i7E+6Ig5/LWs0eME++c1LOxZ17EBaNc
E4PMGDE1mtIEpcgywQe4sQeQuEF51bSbWJOAGg2tLQMVS+TsnlaIXXOVxM9mQ4k0DjKVdy0bfTYM
bF2Eaq0bTbdmDrDWG/KD5sVjdmqmmr4R+Ty3z7pyrzczwTftZlpF/mZnZOg2dXulxeAGgJdJ2bI6
BBhKVTdG4yUP0+otaDEZOE2H3aCdsqoPKb+dLZfxSijqhbfx7Tx946dh3x3i5h6IuFcdnbzG8rBc
7Q/g3e3HbE1Bvl2XsxHmwN72N4yIMU6gxtGm3VgJKpNI6HQbdsdq7hS7OGkCfVxs7QDGQ7413jL2
+76Oo+EWx9cMnO9q9/BG07kHhmWMQepFbXnj6YyXNoOf40+tIAgdsHxiJGnx7fpHna1yfcYRggME
UV4/bB30cgdz8rouNKzKrLbxYvK/2Y3gXmlJjY92c5YN+VGfq3YmD82HOJq4tQCGHNcT0rxEy9nH
4pKpV79MkVQ4leKm+a3ayJhOPHUYqPWr82ZokLiFjlFBb2r0/hjn62JYEZFGOI6GJYYGl5G2lLr1
XfsGWQiJ0TP1TxiQYVqD+jAz2I6rkzWCWmUv3GQ3HSvAhyZ171nciJe2Zd8P3FtpR5RiyckbR1zM
NLE1IwFpPKL1bz+JIBZEQmXkc5lcseyAPfMpagY0eVVOT/+cNjFrZwM4swp6vZ6f0tIiKj4pltvB
0RtoYX2VGHcNEc1YvEgsGLcAwurhABS6uAVgDSFqYs6kQmLKiw9GIerOl66uwsavSWqJdD+rAs2x
7Gc1JzUaKbMQVC+QoTviw0rnhtY8ccI6nqlscGLGxrm3OBM2bVzYt03N0DhkcjezC5VF+tn5ZBFv
3Zm1iiBrmiFSTRsTVogvNranR6/akkf7xR1wbk9V+ZvXWg8EH5BZHNnTG6vkIlBcmQTUqqb4YLXN
e1MTa3SHlZeARruozqWeD89tLCRl3sz8JM39ifwz27rH4Inc3vYteegHoivK1IByIvXBLA60Y/aL
QeD4uZ3H+NPJzMTfLl2XRw8gQdwVpo+xZu8THrljypd8T7XGLJ8JHn7SRTd6Ho9cPaeo947Is+10
Y+dlpW2wMHOVR67If6FYNScAQj4QuclbXrGilz9qqAZ/N+TWBAeKGwf/V+ay189HuiWyzS9r0Pgx
ss0VzRtX+fhUj+SWB4hUkKgnaLdbjKuFwkVhRvVpEHXe76fZMmjtYJHLMLOoxYOFMlcPHF21b4Oc
3Tsk31Xgwwn4NOLILV88OkkUaRMvysbH9xhGWuU4ocs16P0UsBOBBC3W3mlGHs/kbUk1/bvrc2Pr
wa7FTJY1O79PKFhbTGYc4YWF44V9AwrQVB2E3Tq8o2QSc+xncXdCR+ez7ph6NKYEQS5bcJDRI8hs
DMYzTdGGSaDLOM0xoH0BtZUPeh8BPO11E206IGZbO9uLKb8EqU3DIU7JYLi1rWgJvJgjJ5CGVWyZ
QOliszDyvgdIFT/jAynzcIgngxxCKwV6ZTgsKDa+UzJGxiQ9vviIbBfOKyNF58Enn26X2hYPMPc0
k46iLBAf9mVdh2JeRfKmk9SPqTIJFOFswIqJ60CsGgYqiGPqYdfno0jFtuQ0I4vSTadz1qX6gYd5
0fAig22YpqpOg4H6ANSgljbRrlOOfyhzmf6KyVdvaCWrB23oUui8Kl1+qDnJkGCFZNKHMaupQn5F
VwRDL5ejUdpZdgDYhkc7TUkLRTmwgHXyvPVDANhLc5MV8r7NlpkCobGsL+rb1QlalvXzjFfrttLr
EYFPNqGZsDOOVr9HUrZh7FVcJnK9Hi0a+dcRYDskT4STO10DNiEL3cMA7vXtcJv5y/zMJNNrwlFi
sEKkiGkOInHv/XFHez4wijUu0ZjQHJJygl8aTteoNuUYLxUabNcDjDUl0Z2N02E+2L2s/fvZE5g0
tNFNbvFf+h9iFc1IUzurq47GRVHTr9IaAh9Q2USr4MbikAujqwgnZXzPyPdbrgKddJXqmFfVDuIj
FDyxuXhvgGSsv9h0I3b9SH3wWaP6gR6RHfWJmEDOmNV8gkZotmUf5GMPM3puCgnXl55NU6V7MpSr
m/thVRwVq/aIsF9sVEaMIIkYiQRv3ypTYmFpBq6CXTm5EdxqtUQNPDS0TfZV5pSsiiexap9ElSyH
qdB7oA0s/zdJPQLUyFfFlIwrBgIoBLt9l8TjWbuKq3QxdtvyKrkyZOpehlWHhfss/rVHkXwk7fys
XeVa5lW65a4qrnTVcxVXaZdw16614SzClGQt5nC0y058sztGmmCUuamdBqRixqoZQ6vuPcAkhdBN
Etlzjuv504HZW10sqYa/CCURn8XuKkQTXYIoLbkK1BxzyYA/eDWJE1cJW2Vn03dsomsb7TIdXiss
6eleVEb1qxxLbx5IaEMQZ8Ly8U/2VSiX+gYfYxz7DHbtVUtnMTVWlDerxC66yu00yjmcolcZXlla
w5O6ivPSTMNDeJXsVVf5noWQb2jrrDo5zKNZzfrj/IC8Fic2USK3WFjTA/IC5IDJ1BA6ctUIXuWC
rp0gHVwnF6yyPNHdp0uTHAtE6KdSaim81dG60207AVjQjcCHJrAcxLvkWwSBMXc5Nchvs6oYnRKe
MypwM3SRP5IOh+JR00rEjxj3PUSTUBHLr/kqkOSg9Z/JxrR/+0FZ9Sa2m/Ku91v12k+4iOVVamlB
2CVkuXLzIFcxODPdNl4Ftdql7Zx47+dDzJj12lc61x5TX9vNaa5rONJZbf9wQeYhVxadKcQP662L
2i+TeRMBNUNO/xqbWf0X5ZJ6M679LUNgel0nQtUdaOlcvqq4j5/Ha1/sCdjrOvXi0/jvjXO9NtFs
klTgXzvrziY1xV7bbYO+e6Im/zKmRQQ9Pblcm3PNtDj5u2vPziKZ/l2/9vLZta8v8rKXl/Ta7/vX
3l+7zgHM60yAiUABBfg6KyCCgblBuo4QWldZ07lfBwvtdcaQruMGMFlMHkybqzxBefnYzG38yLO/
HJYBA+0mQw3ah+XS9/epl9oBqP36rOetRXIOVUHK1AMqFvOPenU9Jo0nnWMrsX6/kReRsCEzCVjc
FHVDRbiQBHBbW6q/t8eJaYisN0j7Uub6yXTSYYFuLV20wdAOn1k/pmpHfFcWMVlxG39jJWAa1eR3
j6MWLfuYJdp7zVDiyCy6yQJLlFl1SDVfI027sNN0q4sEiSiuA+0Dx0yvnZjYQ4LprcJ9Ga0BLToK
CwNQXDOAz8g9lzkvF+0lttfmrHLbrOL29qendCZVZ1cxiOQrdJYPokLGT5M/hQglGjkj8Pi869Am
KWBvW830qUjmZb9vZPZdmoAPocDlhJULcUPsopMT2LTpTxGpeSdmNz82BobKw+BX9i1Ngxed2Nya
37KCTpwbtDMhRQbzzWTxGTovGUosJrIQK8zSts0AN90Wdj+eNp9vrANVY2Vyy8tsKOa82fDN6ytu
2iwHupEYOrc7vpv4ELE1rcMhyXejTij0BvN0cWfqFEOQMvXUOLV+EokdHbEOODjVJF0V7Q3YWQe4
to+29NPpuMCCpevpXxnD2iv9ArMEjZIv5hcgpIaNbt9iJZGSaPg7qMY5DklvfBRTiVUicZpDVnPM
LyYG0g05Mpw1WYdAq4QqVThejKSFbWAZIP1DEIUitP20NRXdxS4yMWE0CQJDD21XPNdraqvMSaJp
uqo9qcrEl9j6kcCsGpdiy7SUwXg/xthPB+R3UNgSzKNe7fmoXLvU/019y3ti/PuSrGriDYNODPMl
8r6iXtwd3lp0apnunWaWv+heiHytmUnfuwPT5prNZsOu38nJWU/79rGJCJuzmt5d1Qpp+yM75tw7
cvA60OpduQoIk+637pbhDhgUq8XC1Fn8OYTOcUmj4vyyu1EPAfsbf/H+orhG8UFln4obQDzigY0l
MZhJNN4iQTrHro8/PHewDqL+GQ6ZLX5adgf3mYhd7OUlIKWELslU+r6VpJGNg7DeUIX/8rhBf1jZ
371If/MhLY4EtBVhnhJFU0gqZDBVFxvU3KlwWv5AQ1Xfe1zDu7Rr4k9qioKlSzqLJzv70k2HTCee
Iwr9EhLuzC4eMLZzzMDYP0V1p+8bDxM8B2cIzNTaG2B5f9klG4dIb+yjVWeHpfRgMIg+k2FN6vhO
Fo311BjGjMTJ079RfpZnTJvjF6ZNTKRRhofc72adWL6sEvGWQ3L8WTBIjdC+DAXwxfFOXQale6OY
OubBQIz3l5MJb94uQjk3c281h2qips9w7e4lZNEDkmra/aHO7kfPmi9kYTvNxgE0fDPC6yJXgEyB
P7NskUNkVJDIPQrveXaEuJlNEJ6iLW164hyXLokloUkl/yfXpmbf4ItZL5N35UPk2oCy7G9bwSHa
CVnJoMZ2Fu2Lyo8P8Iz2KveyfdklE7m5NcOPTNTdC+WuYkAxt3UwXXsOoAmhgjr+17MSH0s/8kCs
/8uHgQ78sSQ9ZAIWLkHmo3lnaK73RpA6HJdMbvZOlR9HM673SW6Iuz6zDf5Ck6cFplOVFDtawbq+
xxkcu52DuJf+tHdt9T42OmL2GZWx7rjOY+7bEJfReD7kaFw2E0H3HjqF7F3llv7O1rIO2QY2F3zE
xpapv7lDZwfmuh2JJUUBT0Xj3CdqVR7B0D6xj8EANINAn9wLzvkxQL5sn2fHNHaO6S94vWFKl4id
6JEHLJBtrG0HLuMdkNc0ABpV3HBQyS2vjPfG+mY1cjVKBYQBs3024mcAVWisUn2YnoWY2t0IWJnn
w++dOxTXHoQXKebbMSdQnBOXEHkQzbu5i9VpWeLaPE+GrCEzOxVcjaT90JBtPTtCEUEwqaV9WQaf
ai/OLFKKpb5HA6PzrS4EzAq+/6aMu62LRiM+oRnIAWonYzg4jlPv7SVzv6cy/4IkkwZTZTAv6Jbi
D2KpaM/5UD1iuWTLlEbaBa42HKwI3bbkYkUsUSLdSOpq70zOEKCJR2CXu5faiQoD/twAG99nj8Lh
PDrpGSRZeXT1xvujd9a9FlF2A4tdKMii+V7YJEFMGK4CA3kn+VgD8yOt2ieT7I5iWphNzdUiXoVZ
OB9Oxry/TbhJYljlruqIqabfwOhPYQsDx5m/lzS3XgBa6X/HptfoB3w4yku6l8JZukutYVG/TQa8
o/ys5ID6+0c5htluWcZNB0rvmaxtWdxnrWMegN6obcMifH7QswjAywyD0AOHDJy0Taik0PGYlMPk
VQA6STHTezQtD7pFKuTGwcYKf/j/bF//k7WCydv0/82Qve9L+fX9n+1e//pP/uXpFv8w+bAt/Hgg
HsV1b/AfsbGexy4KpzfRrQL45X9sFCzzH3YNLj4vzzEcsTrB/rVQMP1/HNvEHw6AzBVC6Ob/xu6F
1PC/ub101xE4yk0fpzj/rPlX/zmVahUTC/R95b7vh/bQGFlPdLmg9/Cs6B5nTnselT5DYLaZvQ1U
+05RrsR8T55xWhsBJDLv1SNw4pcYI0S5IKF2ON8Q6Y1yOmtZmWyZHYtNw5lPh4cwOZ6WL9HbSI/S
0Opp5MRUnDXimzEb4/92KxQ1jZ+Ssd42xKCkr2Zl/7L+g8DoFKesrdUehLixMtWwcKgajjZTxnSb
Std4yZ2UpE6VJfnJWuySjOx5uSsJBPrps3Ug7Am8T+RRHPh94x2GSW1n2hodW40O7tXUgas1Gogx
GysuU9Io+3SKHrvvwm+NmGyw1E9XmZBu0T6rKn6zieI8auQhhK4gHleVxQMJqkwY5qQ7SXJEjmPj
TXe95nkEyTq0Ym1bgaLKGI/dJ+yFD1omynMVjz0MzdbBFlwSl5F00nwB0cOJPlGYSyu+tAlsFDMa
qj1BrvcmYeEvxFfFf1SeNu8EM9kPxKcD/9A9nw5GWcHUkDdaiCh9GmRhEhI4v0rKuPuECdgTwA3n
yJ3Xn7siSm+GxCtfRwCbXBc67WIbpwBDs4D7RH5hdk0vSeLR7arUMKgXabmebF8WF7cGp2ijsuS0
7IO2F+pdUBoFmj3XP2IhYVXO3gJ/fnpLYNgBJD/1vZlt09owHgYKzW0Ke+peuqP/boupvgEwZJ8t
qiEy/Zb8l6CuAdUFnLlVHORcZpxPF2bcXovO1Hd+MMAq9Fsx9dyUzBhVWAIVuh1dRkTqB3dFV3WG
ZzA608xbNbt/ouZsmO+W5DfrgBOeWnbVp9xp23CJSpfkW9nXW1Aaccz6uS6XDV9CcY9wILuQYNbu
fW2ZX0yC5hEa0aXEdkWfTITLJZ/9KIz1Qac4UkMYUygEeKHGsDf4gnBGmP5tAWuJUIOqbg96EqF7
gXqOWkH87dENXjqIJFtlKn+HtGAixNicjh3WzYsgSx4znoKc7nS7NHW9XTs37rOfacOuzgsu0kRT
G9ECfgocqGso22NjKxsCktUysx4vNRJTZ3LEtJnpv+grfWsvsJVjpoi3hajmgwk4bJ9LvUAJyQCZ
Kq6wSoQ+3lLfRl5kh470AqcTm1UhvV+AztQFPHcJ8m+YkdWY1beTzHuDLdQ5dpCH1b2ePdQT8Ld6
VTFlLYsaGsUd7YzYm1Fanj1T9z4ywucH1DXl8GCkanwUZf1hi+K7BNLkLO0NUIEfCWnqfoky71Br
jb1r4Kdx+Kw/sWg8a42rAn9APdjaj56RzjAkmy5UDOWeYh/8AliXchOlTHfhqv4CPL1ANpq2gvCj
wOgFRChR92/Jmi+sg26gNxM6UWayC6q5NM66ZKRNGW9v+652/3ReFu3Ak1m3TW/xMumusY1wXj1Z
rsmnOtGp2rM/BS03OLvNaiELOC+3njGPEB+XenqLi8g7Wq4kdTdbA+0IDz5NrGZXPUa7Hyo5H4nj
RCxhtK04tku87KM+Wu69eHF2sUv0dmTR78wAc8FP8W3PGYY+BxcULMyk22e+oi6JXDJE5t7emz2b
7g08j+9aGiv0Iqtm1lW08wVSXaTiVfSGgGcJkDqgCffH4aSrqTwhpPMO7NnKb3Q3HZ2VqQcw0vRH
XnKKmDRBKo0PXlDBwQ59EWnl4tVkJ7PNyqkfNhHIgAs1KxCjJCUHTA4SlhaqrN/JL16sUaltPad7
DeM8Sq72kNuVG3JhOO9DqT0AQLzMNOBRRJw3HrigGWYIgYsn5Dse34VRgCdRIRN0WlVyjZXJfRY2
a2tmNUnLQKPn/e9mJ4B7mu670tHvWzffZjqhHklMujWgJRht7k0voYPC/cR1ZtlnQiOYjPveU7kM
qHsr7m7qKbt7QiNLbkc//mYegUtjFRthxA40KdMHCSklzCQL1GXt+9JWt3ddNS57IrnrveVwgpND
t5BZTEHfF8vwB53eQzK4L5Jeh+k7PwDBdT2/k5GAtTWOCukcBgE9sUVrSsQfPX4eNQhYiUaATjJ/
svZyHnWBe4CfTsbVcIiG+KPLOPXz9Nmy3AuMsG2loRAFgFJs207TNw6cV0adbXJDVLA8sTG0j2SV
qiDib/7mFL710VpyDFPlZUduiUPZRfVTTDb4flY9/a4xDGNMP17W72zB4rMSc3fnFnN9rjS3+1OQ
X7LhyV2vwTnlSy3KXesIP3QX4odbgeUGdddW6P17bwKOlMW5H+VyMYr4tmoSk2uWyOQIhxAKAZVW
7Kkkhyq4CuboiOJHq73B68LykB2SmXRoBaWFn1nu6ZwRDivJ0BTtF/TbpTs26AwgYNZwlekq+X/9
QV7sOzvmZ3yKOdrkJ4sg35uavcVkwaFz54i5GwL4MXLMs4M8sNwPY9oJuvix+1q4hv5IFh907HqO
pDmhIZnBwnK9oS14RieIkkn3LS1Eikdw+Zin6mEe9C6ca6e5JacC/1S3imbx+eivHD0yVHVEZpEq
SbI353FPTBlp6uuop0eAHAC6Ek8aIBhGzySeAUyhEQutpH2uWalOrfLuPM3p6w1q0ld2tABdK0qU
WK//5PU0PdcFU2INfdyut3Nub8sq/AfPrl4nd7ivSghSZZlcSI/fsb3BCmX17/C1XpqlYOxdZtaD
4fgVkWTlvOPa829L+JvpdtZz911CrttUlBUkS/7IxN7jqzksLS7N1D2M3diHIyP/OFzsIi54s1jI
kunMxy63lXSwl+vqwFzgnqXgY6YnP1xor2Mz/LaOvV815hc082oXG7YfCCTrTM0Wg3uXKixKEAsI
N5RimW/r1taDCGZLaM22ukROQrhNFCcsO9029BO7vzCwWzZurZhUaa2sQ4mK9pnj1yMiskUF2K3B
vZTwWJoNqk5yi4BOp2e0gQTwDKN1oNfVH6ji5qdK5svOHkbn3iB+zCnkrx1TwBaT3cPNhEKp8p6k
qrY6aQnb4dZxGLC1JvnwNZI0cn1WcYMxHSxt0AOcf18wrGvMPXl+M3rzGmquBIb/Ck9+K6awWhLn
ph0jqOmarU6eO5iHGjvhSUXyXGiT+iDv3l0BCgSLDUxgN9msscvuOmSMyqvv/MhA8SKrLy8v+fP6
DQHp3D6spsRRMc4i/at7V6L5Yk/thKmJ6HIuFElQWFMi3dDeHFh972UxatuUJf5LaTdhIeq45+tI
WZPx0f1BwVlsqSjFA0DCOJhkqTvsRRuo2CrLiYFRB1oLcUArIfhQi/gG1zXzRI9Lio13aHVl/0ZK
jrpBCd18VGllhJmj8GgjaSZsQq0e1THD4UPYJs9Oypx8LqKAja62Ey6b14W51b4e+uilnBP1wLLN
C1XCxtlqauuCkx5KokGCVGXm5VsTN5gCEIOscpv5kdmPvhnSLv+tCgMqXirKvz4M9f0E2JuUHiro
2pX2DeEDuMMXrSy+EHHi6h8Wifh99MwzhNj0KY6p8hDHqvQVgAVXBuFmodlH8cXIdX0PIVC/GGjZ
Q+TGFtrdtj1GS2EcID3FnyUpiYzkXTPEC1D82qr3L1gsnNfZMJgjdCOIaqtvP9gExY8ZKOWnCjDp
afS8VaNgpAMfvSmCmk4AziV6pbZdL9cyeWilvVsaJ6Fga1FzJxGD6nYaLy6UikCMqrwQLdyeC+Zb
hJxEf8ZyhKm31CQ5lflM6TZZ0S5bhPdhTI11jsvCehwX0W6nzlDnuJWC+lM4h7lznE9aVrVdQEf+
qTsUYD4N4DGZvepOxGl6GYwkPWB2piC3S3WqSKzj1rD9HZQGzwjM9D7TxpJcLypzjyXgKdUMUKo4
Ny/m0twBpDbXNRHx625H8PrCqn1Tm/6xc2HLOmNDeEvjkLLq1+4Zm6GNm6rDcMc0868TLT8dxP1/
o+5MduRW0iz9KolaN9WkcQa6auFOn91jUigGbYiIUIjzaKRxePr+6LrdqXvRlYVaVKFzk0ACNxSS
O2n2D+d8h9g7SE01ZJ7AaJnM8VsY6AMhpmIsw1MYRzcqy6gcDf8iQCUFEHnVGs138sxeYAqGOX+t
PDC3LIrdS93jPrXndFvqxbSuhBxOS5OPQ6j8RO+6w4hOdnznE53bxn5Q4+F7imOhEeCAoCuIeeeY
MyPcY1pGokLfGujPqowJpii/ETDIrKfS1VOk286KrNKv0GzDrRVuvSHcGVmTHcNC3aeDE7jRwOEy
UZLr+haNznSDvL3ZEqZFONU03qaWfOfxHLHiFACnmaQH9tSiw+5wAw5kYu/a2TBLBEjLjNfkQc1D
shxauJWI+1/nWL+JOD83OTybpTZItlUDmVbVmtjQ54V7plZ5kFlJe6/qPEEwLZu9kv680ey02HNT
pEdDoZ5vVOHd9vNkkdJHCGZpRxflmhCXqEajYzL2bBzwCWFRzFJwMLAaJY5JXzxD9lyPlseANF+Y
U1UeIVPWsjWF7z6uzpmHOqGP1EC8EYJbBEyj+irttHwF7svLY8ZG+EHA3KytwtjFCK7HzUgMpErv
i9bQHkbLJnzy0FqKpTvEW7SUfPF4y7PyJiVn5js3YMsAj0n3THDpukwzUhpxEIPowCP70ptz+CQQ
Q20aRd+y6hK8E6uiJMgUW7yxw7Hb7Vi+Ow9tOWbHiSXdwYaNSziGZe16JdoPp02R5aDpT16ryu8+
xqLAcl3XvIyKw5OPxj+F5H4dcMt7e1hk00o5QCeTSnYBf4D1Qi89PKk+Kb6itrZuMlcwyTTKal45
entr8p3ei0Lwl2Ev+hSJ4bPOU7GhE0qOsa6M24mAsyNCcn9tmaZibmBjPpClZtxy2xqbwsJUQfUB
6XTSzvjpQScgPdi6FBYr32g0IjoXeJ1AkEqZjg/pRq9996ubj9oG0Se7Y5ZMFyBtG9HOgEwimxNL
RckesU2GfRzPn99Vj6C33lB2XuYp0VbpkPwgizM9uE17WUJn1wSANDWRa8+S5oelDcItY7pg1P9e
4YQ8YmiI7/9L5p7/TJRK3RDCNf8DllWZ1H37+1TT+L8/9muw6VtfXMaa2CWZHAKSsxhf/hps+uIL
gmeWcWyMxIK++g1khR7a113AGDCFTWaY6Jv/z2TT/OKZSAX4E02aAtP8z8Eqr1k9v8EqQWWyJTFc
Yfu2vYi2/wKrxCle1pqe+fu0TYo9LnaWQQkqk242VzWHY7S2oxHrQVruCO4gVCGex28FjdJX5EXU
CX5z0Rq4AnRj48kVg3qQyro3UImtMtRDXP5WgmK1grZcSCaIcRs+WcTSXrpMO8h2eZF6rz/R2j5o
7OjYi4/xu61l8wpXFBebyu8IgAAkjY2VDZukl0I91FtbzU3Y/tS2ox6xWXlUhR3H4DDVlza1RnqI
ZtLX6FurpRWEkQw1ca+VRCvtfckWP++L+CWp68+McsUNom7xh41J+h3axvvgC32PXPImJXOLcRmG
s8ErOgI9LBkQUPNTp8QJrJ5Y6NHm6JRUdw8pLtmLz1kLOyVfXdkBbcKkcm5JPlNNovMHJS9qTJ0V
ljeODa0kF0TKgcW8bR7Ih0yZPPpMM/U+2raiIHaWRwQLPWiuB31IfwwEPpCvFJI+GE9XWM4gFwvF
d6j9WFFlWKrdJEhzBpAWfVVwYDpz0L6CSMzvVe5oO5AVIZmiVqjf2wPBwuzphzhf4j6otI12+TOh
DiLFytqMMjmP9XKfdGxXQjFixGusoqPNJ5Ki13Bw7fM6jrQDYQH5CRdnl27DWWTJ2hplBho0DSFg
w+fzcRbL/pkojbA9yMaRMQrSRB2bzm7ECvBI47DxmpDU2q5OwZXKmtLQKiz9w2nM8QlBR4nByZfI
Eiy3Qc+niqIjK1GDnAkfMENp1ljkAcB2tUEdDLOP0A3t10snnfaCfhVbn1GlKNCoFqzbmPrMCLpB
M1btQhtBmIxMwi/VrW2Z0rifsg7ckY8YFGe15eZgzy0DNa/fGsPwkKL2j/eM9/rmyBNG+lHuYQcN
kNOIG43a7CdaxuLkIjeONh3+q3qnULzzndN5HjuZNcRTG62Nsm3w76WKDlxJbPntIcQICJoVqECg
PBBvUKOjjWXeeLr1kkv3blx29XmiC2Y17T7uUG3arX7JyQthJ1k9KFO9h7X1tUfgMKFPu0HDsLeL
bJmnNuc0CgMzq8C0XZwCoAd82AzJMlAI6ChrSwx20BXM4SM9M+9wz2ufPM5BReS3r/Q70SVaUI7e
va439Za6ekUxrG+5seqAf+pPc74vOhVIvM1k6tQvhSbSe6nrh9qJk2BoW+z/sYujk1o4qDLth5Xk
2Vcfy+zK0ci3c6ZAsrJbNUMb8TB40T636SSYNz0C/o93WYahacjNaA+7CpOEU6DJnFCsGkUl19OM
ZRypiPZmWYBPGnc3lhUbFRNTm6qhCZUeuNtm2T5YcAOw/5pVEHLrX/Qkdb77U/RV5EUSoFbtd+QK
1rwy6RZ/t0cjis+8R3f7MVuz3LTkFRneCFNWpJSNTCjjMg8Pyna/cvRdopThm9lM4pgl3rbDekCg
APAG+o5d4zMsrr1+R/n7A7MIzgZn+oyy8JYEjIoVjuVsIbQ+km1jfA7MT9+RSv78zclz9+tY/xtE
+DuANp38138R5Lz9ji308NU7BgIsQ+CK9lzX/csiq6xHpanE8PcaEd+ruAAbAdCLcUo0wsKPEU0k
a42AgXpjw+e/AHtLXqJ04ZOMVFhqVThDzDnZObx1Dqz0u1Sg2dlEY9bSJyNXMkHbZ3AsSL6dnqq2
ND7UFPI+G+2AmcKtc5eYrGJuHagsfStWY92qY2ZAVdvFkaO1yJ9sDouyDk9qSpXa2tfTRLueLM31
lJHLgTNiEUc+DAdU7HkvVRC3CIUQRxNF5lEZP3SpNrmrnKjmA+sZjqnBiT6Qh1cr0UVberf+nIds
+9lrbvtF+GKm6qyjVTzZenkSRH2cTATjm1QAoSVRhAgKmjY8yT7c/t58oC8FnMtxdnZgwO4aLD7w
VzvGf1UigwXca5ZE4JqsKz4Nryq/AV6pNvTpOc8qjuNyJzOjH3cp3IV+7YAQ2cHF5W1x9BSVgQ/9
slpbtZFmKM6kMZzojAr4doAFWJCJzeg7+DAarSB3OCqf4saf70AMLZHi2DqrNj1hI7bueot4zZWH
7OmVQ0GihnTnrV0NpB1XSygMVgZydeve+xFBWd2Q2XMPx14cHeh1BIkVqXFBOknYkZ9Anu/aDvwK
4s85OReecE6ktbAHgYS7w4poQftQ2s7Q8g6CmaAzc6PoA+A+b+uI6PD7ZHN6KU+J29Du9ftEOeTM
GMa7Bdp6D+2CCWxlM8IURXuXx/gHElvs8qJiY4K4Xx9wZ7q9pk5whLzAGdtmM8SsP8lRSVos6k03
nevOfiFPa9zwyT3nEde/lSUh/xI6TA3V9krUxiOdRrXOcKzAlUTkktc7fzR/4P4atkxTPpBTlzCv
oAswcTkyBAtiIz3nwjjJInwOI/DYILcqNbwz0CFAzb/RFQkYUw+oepx7vCejcZM15mdlRf4l6xEX
G8grtt6oefvK6N5sT8pj7Bm0zU4W/5h8f8C14Mn7ohLTQUp7XqV14q2KIvN2SskPikVCU2zzh7Jy
f6uhW8X7FXlBYSTJyUo12s8i2hWTbtzA0rikLcglcqkFk0ttCkzXqLbwgMN1Ayttpex2XrPMQccJ
+w03ypE8CRDB+C6oErbs3brLXBttMLEV27lWTWjJiBM1CsdLzvTvQIdUnjVjcig+EIRhSDfuodzJ
OzxqG9NXCRHbi6ScxJmccBI3OTq+LVjLsk7+BCChNqI36p+ZivDYZU61hRNWQXuzBRhQCCJ0R1GQ
olvcweWGc5ez/34dbVdJtuCTeHanHvWiagv9hT4KQ3tn6RXctzT9GYfIWFcFs811itcd7KUYZb3T
FprBpsIvcwqXO7pdbuvsenHX10vcuV7oppvTannXi15dL/35WgDg46IYGK+FASYaigRnqRfipXL4
L+mjLslHW8nqZ/dnvv+//a9/1kwAxnbWP9SPPLylb7KL38rfm60/fuoPCQkcf5d+ii/AhI6ztFO/
Gi3H/2J57BUdGhzr6gz9u4JE/2IYUIG5FrGmEhlA+/P3RgtpOp4T2zQJDtBt+z8jIfEcWrY/AYMN
Qf2JU4h0ALpKbKl/lpBgKRm1UuvkVi+cIt9p4eKqF7nNbF36lXNAmE2vIUdcqjv/6sdvHDGXQbHY
9GVLGDKy0Mg7CZWZ28EczbMDNSdZs1fC4+9i9CQI7+r9T/tC9GcfIkB/ZQNkjTt0O4wu6B6UwmhE
xik0FSDm4aVvKc6Av5bOIfZlTd5WXxT1ziEv6HVORrJUDAgj0QZWKPN2MJBYrfQyjM7kOjnvZtP0
G/Smw25Uvnc3Z8Z8aZDLb1DJZij5smpTN332oATYFCV0DQn/CDVBz0Pnvci68kVQJrcoU3roCoWN
CnkbWUAXlO5yetNywUfG7gRPbnA5Cl1VjF8pK/sdclK4DfqCcJgmtJ81Xp5XevAROAL6UnhsstUh
jFwZEFceRCYEKU35lRPhXJkRCp4FQSUt1vlVVJr1LWOuhvGN0fuv9ZU7AQOV+yG58iiGrFn8bRbS
Rccy7FcPViR0jCE2yObzmapIaeakGFxJFxqSQvPkKQCFO1kCsThUOG/XGAX7577vWPFi25T8A5gO
QXga22LbpGX6bnZ9dp5Tq75DDWH9iA1j/IYQETMspA5gHMPYlMcaP1EFTGYglzUf6qdClsBfrgyP
wibUgEzaBkORThn3FF+BH3Dq0IXOfrLAqazqwXCitNnwNxif1NDld2XdxPeZIdN2G8KB2ccJXBFz
IYykv2gjQIVcD/FyD4bEW4gkHMCqPTrGYGhrMjaBlvRaPIm9ZsEyseWCNfGviBPDxQmwNCol3xm8
BxoHHQl8o+ANEcky1StG8UBZakZ0IdiohaTiX6EqzsJX6cnsfk2dzjsD1qEXTq4sFnXlssT+JEIG
zzRSlJdJae6GX/CWgQ3nprtCXXTSeoD8+v2Z7ZdY9uXetyyV7F5IM1RM22RRrH1VzHegNc38AU5T
tcJMYu6ThSVjoBo9jQqgzy6XJH2uDGKOX/GQZSfXXWA0RtU6H2iZ3YCRB7Aa1A7dMQknBwTpuASM
4djdQDtyXv0opUThwkaHXPWU31Amex9oUS1gRzWiPXjmSA/Nirff6hU0EQIQNGg6bFWjB4x+2Nma
OPVfdKwQzykOhXdHedbJHRTeYX1B9KQLrMeqvOdeIYQnb4z9zdQZ1ptr48m8jaAnOigCFvKPv0CA
mpJ5CRE/vXVslbXQQXK2ZFsWQv2LXcXyPU4jNnj5lS7UXklDIpt7c59NAgJR5Oj85lBX4GVCh23C
qbkSi6BvILiOyXBR69HxSYIcfxGOrrQjrAnkFsyjZQSiFvCQfM/AEgJimdecqfJETYDjFtMYD+xb
ZWkJPrSFrUQJnv9gw26QqQx6qeQNZ2OJ2vQDvX11g2/L3o06Ibuxj3wdDRggp3ZBOnlXuhN+GkhP
EYP979pcmhB6qYYxQPhnZgXRN54otNoFUOLwyo7iMples37Kb6C4w5ZqdUR7SOYisbONrvRRJ6uP
tLXGHa1cs54WSFV55VX1qdGzLLpyrIiDnr9y2NjFY+aTR+mlmneD0Qv8lcO09iijOnuh20bMR3Cn
i00nL7TnZuFnQR3RUTyhpoKWUgPYYhEB54P3+6zrovrBwMpnRnNFc4HMzbwn64rs6q/4LmSKk7uz
rlgvaADkzoFyN8WlXchf7sIA8644MGPAQFawTgqsKy5MXslhIMSiDpaYuVDFOjq8t3whjfULc0ws
9DFkxdpXi+OsIHuqcdUCDMKxgLVPLJlg6s2moHb2yUI1Q38F4AysgEJf1kE9W/hnHRkYy1Rm8DZG
bVblvg07K/mqW8Vo89+GyRMzE3BqfezlW5/r/pCNghkX7gem/QypjB+oRtxb6KXmd01TxZ2YliK3
GfunHOhbclfESPb4yzNBX5n2UH5PF94bPrLRXPcLBQ7OFGbVpK28DZZvtEjU8IP7GC30OIBDogjs
Ali8/QsvJ2H7r8OUMGkLLVwH/Dtk2BRVbrHBeIfF2laT1yDGCu/6K8LOTbBdBl7HnAVrF5Q7ufDu
BjML8W6xghKFn6+thYuXLYQ8AkLEPupV/AisFz+34alNvTD1wqzrX+XEgnsVFQvfFoM3o5HlPdRW
HmmcbFlb8xb20EMPpDQwnea5iqDmQqbEep12mJcSOzwlGFCoYaX1Y4xT/RABAkLZj92tU/UUWFMC
QZBlYdi4n3Bv37vIopNLSLHpQsIC1j0CIdI3otF67jLWW5uqhopFKyp9uUJ7OpgHy7FR1iAwSOvD
YIG6J3GtgsVsao6N1C+fzAbvQN7P27H1QD6NsfejqpoKD7HRGU9x7Wnzqta7xN4P8H7Gm5nH50dI
WHK1HtQyWIzBei2LswrLPYFvDPrSPchFbSOYr/KsIPTpx84LSJNA15CbSXqoGPFt4jR1HzIbSJ+t
Qmx9SPI/Ci8RP70k7F5zz5TBOE/yXWuIMGeRazGz0tOKjGc7dG5cdGyr0h9KXCEwIuAjtNALzlNa
ado3C1xvg4xeJdXay/qmDESTqPmmAX4oNgUPTBQUNcS2TRR2prFRbTQe6kQzbxpgPAm0HSJxN+S4
EifnMrc4+LMpP70mRLbn5JhuLa/OD0WBcXzNiaAwH426dzvPgNZAVrT+ZZhr/6yT2jAh4uzj96KW
JlbOVkPdr+LuvRYdAHaoA9N3HWpiGgBZXlLeNA97WE8imrtjdQVBv9Mh8R4I453pJG2CWzM+5Qts
DQHjMTPdxYvkHLMCzmQtKpaJoMvlE0UUkOeMcK0P2UztS08u/DHHr0X6q/DwWHApjTdR6y9sdNTP
2to17NDAfW6kt72LBn9lOnYHyVaL58DIutY5s/AqcK8YHiYtDjtAfu1y+7EOBSA56vw+5nXzBfJz
ItYj0nH8Ybi9Bn+unkyMO+7a9pLq4EF/fkmHpk/3aP2be4VRCnN1JNpp0yf8kWfUeBNBHEYYXcZU
woU1mVC+sXdp7kVdOA+hbN0a0YHToTcj1JIdeC94TvCq8282817fKpkGLdvmQAHEH1Yahem9HdnD
qQ8XHyR5qPMSIzTbT4TGA+eNqhjKXaJDLt94MUnYz5GdVp+iLQSYq27iuIhAprQbqDAzqM++y98o
FMIHYrim6OzBkySHkVHHzGvjI1rLisQFA9ukLLI5oCcw4GncPWWhZSAv5I6+7YkOP5W9gh8C1/uz
6G3jYcjIIgyM2s/v2eho33CD+U9CjRh9lO9/9sStfps0bzh5tq29TuQCIYBr0vl+qNL+lfOXcsFq
OmGtC5JQgdBZ2OQHHPAHHajxc5VMmGR77phnxP6gyfGt4XOLcj3NdhXqJ9waPsnB64i5RE6lrKOy
01E5emRLlGG7R91VHB1XYVusVGweCMt18m2jIzNgAcztBoowbqZdiCQxOc4MJE92b03NobcWiFeS
5o0WsIjxfyoUXB+yRQayONZLsZH0Uk9WOsWwQ+NhbI2dHkN6X/P0xtYxgYIGbhMMaLq1Mdgogp7L
ytfeqla6+wn64IIbmHObvJASoz0LHkW7E2BpqLwXRFmG92CDbEQEzZMGLoQgKRsuSNi/EVC5khNU
ju3QwVIkQMzdRPDSNebVlnMweZ94MGey0M8YBMmL7E1LmTczYDriF6HKrzA8PIL2aOZjFk5QOXxq
gru8N+YSRxg0eXEmaIWQiJiZf77Bid1vmATrjrk2C6XoVPLSbhEdlnHTNJd4riiPoNwDKBFGXVg3
HUmN4dE2pIpvvcHtHWKKw3DYpxJR1gi+/56FS6OdPZuaBOcUqVw7n/RmcytHZpcHBJwJkM+obou9
3YaIqiFkT/J7MWNi9DEXExE/9Xb4HS9iCbtvjAz3HOWdGRI5kgyCgaSSACMFeLxkbYiJHE38nEL/
bjpKdjDwWrKtmrBewGb25J+5vpthn3lGf7SmwoBhaktjXxGJvesihDCUgc74NS67ojhMCUkd2xi5
k8dwr4/SS2W5g7tmkluBf8+E3GLzV1rQRYOzg/Xvh6BKcCBs69Tj7iLG2A2PZdNP7K0gz+iYMioH
pjER1Ll8HTPK7boZp+KSg7lyYfDFNmwAh2F+fSx1ojP2IQbTadXZhRs/cUk58gDkuqTM0YfhjIqO
XQ/MCqmKb7EDY+Gd/bCq7iPG3EHp1Av+oAkTWjvpqLu08f3XlOIOVueE5jqQ/HMwtbfJNO+NCB3c
KdbQY2280HYtVFlut3XFkv01e612Sors1U9ZXK4aA+JtnBFeV1hh/V0zR+Q5uT7fpXi/UxytPbTS
jCDO3B9ysZpNBQhzdOo4SEKgm6IruKbKWAt/Ym/QxMFwUzojRgxLhGYeTx9T1JrmQQ4Goi6cChhy
GyjDvQEusXcic2GIsHlSZqNZRKjlD30kOZtI/s1O0cgbS9USousPPVyV60iL1Lt0vX5JnWG9zS3U
4m9nyTDk+0S2eJKlmqInGZkR34e3KNDyJEK64Zi5uGDHUVHAT+uImkqla0GTVj7wpWVoyzJMH3dj
hBG14ejHQIZN9BvGZTqmLK3bt0JzygO8PW2dO254Zp0hF5DYzBg4j2wID3Nhm7d2HpkPKHMtts5p
cUjRsc7E4fBxOOQFnHguu0c+eX9v+RFpfF3FfHYzzPJQ6+X4Fkk9epqmpHuemqhLdzBKxVGZhgss
xZ/wEnlG/hpBIq3XGegOfe1Whl7g4rVrPOwg0PMbv++xRpBCUyzD4ngERpD5Jw8pKAAVggqww3rh
0KC26nziLEKnCTpSZAB8gatRwUDmDyd24zub/97p5v/8fbz5/0eYqSkch0njv8/Te3wrkvxvN28/
+t8nl3/82K/Jpad/QeTBUFAAN/I9y2Qr94f5zfmCiw11iMMM8o+hZlkBT/vXfzHML5avw+DTTVQk
wvtNI+KRdWYLfgoGHnRzHwjfdTIcfVZ/LAn57Pgo//7/f18akqb6p8ElFDzh+fyPzW8TugDb97v3
rYU30TsjjnaO9TsDOd0q05rvhcXqu6WC1LrsaHH673tJBtZvn9T/Y1/pmMsf/ps8Bd6V7jo2tjvT
A9fEP/TPv5zBkp4OvGYbI9fIe1jyJ7SOfMp2lONqsQIxs0jFmSMz3vW1nkDrN/QPjtqITGhw6xv2
5BKdPHlhN+yVWbrOo32iwyd9x07MY9Py7iet9C9mItGdtpOq9iH0twkXOuyvtnbvKbvt7FLTMKwb
x3k0mWysXWSDNySnED8xc+XfWhUK1qB35IXSNWNxleGLsbt5u0BhEE1AyLhxAR49ouimdqkJkrlv
J+5r4Unt0Z0tHG2EUN8OJmhp1zWtCwpPRmaaNn1LkwbNnEvQDJE6hI/lTr/jSLFPPjOC3WLaP8wW
U3GsbJpGaUx6RLZHKSHOrs1+Mmi1pMd9h+vdPDXUcViLXTPcIfNhPgW2AiQhAtTv2JdSqOiiFg+M
bqJ6LVmTcYJrfGrSnPaTSuW5w0pDd9bExT0+PwW2YtJfmaRIuiJbK6c1+U38KNK74WWIojgDEjcU
X0tTPveNZhMUgm3PF93JK62Tj11+H6Wt3KvWwwHcaN+dXvcvem+NDi5x4rLyXvaCJVGKndhJGZDt
52Icb3qGQ3xZWXZS3kh2GqG2OwF3pl+njVedSxYHB2yDTDBUPDxGZpXu6LRJOWvpPiXxUpu55+uW
Rqa/kWGvbzBUyRAYWDHuMs2/LUCcnZmuR9sMBcfF1ChahWuXKxt0Aox46e0NwNYbnzfHDsauN85T
MsT1GqCxuyZRKKy3KCH5+ttihgpGPlDkekSdaQLQGcigwOl6+Uzwu/eMgkW/1GnNMx3ZJ89oMD8u
z3kXJfmaqty6mFPrPyq4Uyzs+y7AoC43JutSBhR+zRyugQrANygfXSx3/srG0f/Vi6RvIKWA1kmo
ja/hqgCQZ5CtRZ31PfV609jW5ATpfMR62QSZBPewiY3BzrbWPBcMTQZBbGyRJPONV7rme2mF3QMp
qVQhbtrlu6lE6z+YoftJKF371R2k/20ZauOdinvtOxjf8Zz0hfVoZjA6g7EaG/fGiiEybspRVS1t
uB2STaVpzY79YAppErZUxAXVEGvVZdHwXk8j9juFzPWctkZrfPc8OYHGs6e1b5NbznvtpO9ybPO7
gfDRAOZO/igTYRPF0hxkySQBw/fPeam2i3Yc4JeY5NZVbv0jGWW6nyI7uQDRjA+AQvDDhDUz9qgx
FWZCyIu6nXCl9qPRfXMG4X+koRketMqZA82mBCjlQHxIJAt7n+lN2gQJVrTLDIhkMwHUfzbDHDlw
PxhYJWb7LZxVuSWxKfkpHMMgS2QoH4il8JCp+8ZbEc3OndGTvRXGIR/h6Mlv9HHVLldSP3djVLzE
qd08EUVgfnMReB1iydy75goPAztbUFl9nw27WsockXKZj3JNtLnRfjDDK6NTbLZIToo096xvAvvA
sLH5yZd2JlGOVuhnGJqET1iTTpCyAZVs3oO0mWEOJem0AXgJyT1m4uBT0XpB2rcogyOd4F1GgRMC
OAS+bTCmKnnjSRunVRkC/YeU7Sd6oCWcxjBZUJXH2OgIkqkHoNOm2RcgBhrXP3f1VBxnE/zytrEy
2hRPEx7JZp7x3dZsn4narA4oOcJnaSIjC1JNDYDgyyHRNtjLeG1UooVv1MxLJhfmvBO5OsNTn5ad
ewjpKkKqvGy+J+1ukc2ZUNjDKBnfynSsbzqMcOIIpcLfKG16nQatFAE5OuGO9Tgyx96sP3FJKjyG
iIoGV6h+o/c91gs8nR0+0akoX3j4sWJiWkPszMCD8A6Sptgd9YsMcdUMysFi5jYLLr1rAGVbQ228
jrUyl7FBZmwLpHbWyumb7lUrsWhuXCBUz2R96C9NgiZHb2bxkfSdIAhi9gO/m9stDC15OzBh/yFJ
Er/Bjuin+OhI7sNHO8MBzOew2k0Rfdua/yw5MUFmlBbVrvmIK9JhLGHx0q8qq2tobFv+AkU2Z4t1
bWbaOBjIFOHWETa5ymRWY/jtLc4L4pySfFdlE3IbIj36Yg3Sdx63HvMNbYdN1tNWYrl3PEykT1w9
IZA4BnD9uhpV/S1LuvmUIeTe8pVhiU29jtjDfDxj8uLCYzbur0AQdUegkIgV8nhJRCqqoryjJO/X
tsXrgKrdxQoIKAS6dhyjnHZN4ozIu6FUx26MFudcTC3DC4Yvp8Jvhl2cMfFZsZdFVIpbEYWmX5vx
g2b4hsOwb5bAN9WgLy86nrG5a8Um0n3vB7l9PLf9RGAgDGtf/mwBkjF+w6uF4xBVJNU6lZDP1OsF
9bcVEHTV3WtZtTM7Z7yLB8N/gOwXPRmdDc5+CckOW531WB0jkLHKwl7HRLWfZRzFt9KVvLbC0axv
Odg9pFMJAVRZ0rqw+qIJ9svCqCPEe5EHgqG5eHN8Bq2xYWTBhdw3EKf0qqaCEPEjStPhhrwFfji2
muxGVBoWKegbN9ZoIOUaMNM+jB1oKgaC+ikOYeAURQHLmw6MPnhFkjmOE59EVT0qAwrYD0tpdkAL
c5tNkb4qFuqUldb8Pn7Q2aqwQOGItGg3Z45YF3VNoGVtDssCo/TuQKCifHckWMogE4QX0bnV1QlC
GvHovjXQyfFQUQdRCP0sQBzdwLUZ84OXwFZ0ROowhTQT8LTMWvXoIOIC94rILBScsm8/WTt43c7y
ku6j90iG2iJIpONSbV3vsYTp5wxOKCwZghXrdUpihs3RimgFWX4RDocF57AAMGeqteyajM4w6SSn
bu7X0AOJTncjm/uwXhLVO+xqzxAf8o1LXCJzTUoVZ9Vdg9h1z7OSTdrozgdZF+69Bf3pyZiXVIhG
JdkRZERtErJL9bVpl6z3JirkuDGGJQK+QAp018h6vsn0Vu3bJSv+2inqCA5JxiZJHjlcq6/Ha8B8
5jljfQjHxMJnAOWSL48DvF4ve5hkBV6x/fSvYfWw2wiuNwcy7FGbg86lYmd0V04pMfc68XrnXvNj
uZkQTJ3jtKh/duCsOeJTg1govhd2X4RtIzSA3cEhhuPPlue2GfLhtiwsh8A29iblOmfKNG+siEip
24h4+jJIo8XvUE8zH1Ca+QkWGApie2tPsfiqkARrR9SV5J+kSgh19J1GeVsDg/mNV+X+sVdu7lH2
6CMVsIMM0Zis7FjjeJVUa8J7JIoUQVCsO8wZ/VQdDQsHVmHE43nm0CFviqPiGwoBVZ4wTWDs1pOh
GRjKofsIcFAhW0SZQZZAmWtvhIgnI9jXmYGqq1NGbQZRyoQ9iSfVttMdltN8J357jKcwfM6J+XtC
NQ12CJC+4x3sbogOedX2TJka7VM30pBBnXHNU9DKwzTSpK8rL05fWM2Snci4pHvm264vljGDo5oL
szvYHOb7UObiNC+qZt8Ou3OBpxJoQbi07vzTNxN/iZ7lqjXe1IrI4MCNo5D0HcqjPoAuaD92umAb
+x/0Y8ZfOSh0mb5uOK5p0qkayGP+3I6x+AZ4m1jEKhh6zm4lei+T8isDpBfTL74Ku+RidbFxUWR+
l9h9f7lM/t1WdDEj/Kkb5Nc7uu7BrACOout/MStkoRRFNmjQlkLZrIicLM98+PnpH3ed1472r7/G
F0vHqfN77Gv298cbAWcRmlrjf0xyVgKWN+kbEcukXsGPWruaiXjPivGurzNVF4Rx+1DsSq4nAcUF
wvrKYH/4YoyTTZRY2Z+duugeMpgHl+UjWzvoj260Afs6QpR6nSwTUDJkU7e7Y0Bbhdv/3lHL75OW
f/snsu2Y1M7/cB7z/Cm7v60+y+gt/9NA5tfP/WHa0b/oCMV4xFx38ez8fSDj2V+Y0phYGn3jOpLh
EfxjICPcL8LUXYYkxFSL/83dmfRGjmTZ+r/0ng3SSDOSi9cLn90llxSaIzaEpAhxnow0Tr++P8/u
h85SJiLRb/mAqkIlMjPcnYOZ3XvP+c6lRv8fLZkDjghjUOCTlRDQbf1f4Ygu4QV/fjxVGACJxvuD
ociHbvRFw+1fSDykkwegWE3OSCSDjRCDXSBEPsBWOR9//zo46PC+fp6HSo5eElck5If860vPXCmi
xxTCG6cJDGkzz355rsc4zamaLVyScVNGC++j4Z/qVsz5gxAmuDTPi44KJrfCfcoH5B2bf/heX3tD
XAecQqwG5D/QOfMvirs/vaYhiwxTnDLYj6L40Vd8D2cEa+Qv8oBH+xQyDQR74KJpSotpk8xnqY19
+v2XuKw4X+6F5zpSMIVUDi2yL98hD1oVXQjU+yadcN3nXXQCrlI//v5T/uaOw+5kqOK7Ie248PL3
//RLfS5ylixZAD5AHmQOf9zz08MIY4nSAnDe7z/tb36TBL3qcseBXfEg/eunaaEdm9SFcB9WMBEI
0CtW4H7EP3zKZav4cuWYCdNYZEXnGRZfnioRAWTEjuTvZVLyM/KZpnRh7ocy/fj9z/mbi4ePTjko
Q31CSb4KL6UFbP6PxzcC2rQqrexzTMEm5khTABzd/D98mPpDgIqqBpfev167yXg1qFjP39cuyIWC
PXSVDAJ+6aIKXP/q8PuPE5d78fUqCidwXY8VgXXqy71KncBbtB/jybc4A2q8BNejH9n3BZXCkZkG
Hh9iNXdJP4oDGa4XokQZvasCI/NYTe19lgcao0I5YA5STOVt2TZr5QbFRkpiodH+wGsMkipksJpV
KWPEMugJLl+oD2oOUmuopc7GwEfFV52pb7os9T9s+s7fvOcofBTwNZu1+C/PIyxs3Em4p/ZxlYhj
Jq3gOA+SuccgnyyIf00WEc2h40/fTZqtJ3LxOMZe8A+X+u+eV1JrhIdb0pbuVwSczqizZFSE+6Iw
3nHy0pvKBgpL+Kxa//6m/vWT6Oqzf4jADSTX+ss9TZpLZycLkbuCY1pPBvMjZK8fXWKL7e8/yVHY
Rb8+QJemPjMGtM9IOP74+39aWtrScS1fdGjFwkFsSaBOiZ0W052w1XSvLB4E0faPMSEk24wxZL7p
AxslAP1SDtH1NOKmbOgF+pxHV52R6sGkg3yTQxscRkWbcO0yL32AHO9d9/1QX+UE6+4rjVwOjRNg
jl1BBxVfAqpIu/TN0Ub8eWgSzFChrua91XbkcOhWbF2pQ4d/0C4cZEg1bNSxFwiKSgcVM62x20o6
E1CHpFMwVCaxgaGf3sIbzd4uzpmjN4Tj1i5IjQZvA4BnaP1j3vb+a+ou3i1VfwqYBUmgBT19BQRE
nQJbRGcHokFIyum2iJrygvvBbsK8eMVYuHn0hG6QMFfNWxDbwSpOWoaVydwSxFqTD+YTbHzhwjCX
tPvswbKb9jawS/qWEy2wTa4nooem0W0hVw/RWQ9JhHgRFuZQtsGHGsk9R17pfs+t7AXyfMgQku7j
VdbjVMcKfuOXyQY488FFknaoBsCwrACxuEekCp7JTVRwZeNWuF2oClcxCjEYOjrf83OadTBQltGg
TDe0tUxBtyWd7BWr1HwdmpCbCamuNBsjIsiBhrpoX9DF+sWRiWsyutV1At8IXpBxbto+YjYhXWGO
be11L05XDc/SI98TWU6D9ZGGR/jMsQ3rrqzC/ikoSu9ojI1ssG2ttVbSu24HVWLQsKli0ji4WFUW
tn7SO6nOVxnUK7J8hgArcRxqcg6536IbuHyD1dFaVfmItiRcWIQGJ916jZTfk0bACWa09N1NWvh4
gZ0nt+SwAV4JyGSkK2FsynoWDzio2pu1ooYew+exk33x7Lq0UQfbzj5amfEb/EjyxIfMQB4K/FA4
vJKxASqro1OJBalwPP+TiPKZOYihkNjYaBqyfQABGC8POtJrkZcQY1Wv6k1aEFMO4oteGmnEe7Fw
wMGiL8p35cohRCLE/Dz0dHvUdLZWbpybwxDZ01ktxFCvMlxF+7q2Ljk8EI83QRXdYGaKD9JFKkNo
nsP3TUbtAtELeshjoLKTcMVsaLkWo94ZRDWnJCQoPkbA+UDSO5Hj6bybGj95FHY4bdO06Xcd3+0w
WnW8C1s04YG0S+7vhIhHTTwfBTBxkoEKo3Yw+53nwQ38K3duf9UkimxTo1POp237I4ywJHJAdduj
5WiN3zMTTJlgMKycRY57i27cpi1QhsDTzs8BQ27oW3OCukYjafYujsouLd+AkpBjVznjIXB19DN3
FxkxlB9HZF1M6jD6DQ8RnIxDllrFdpwZCFoTuzBHUfIfQFd8E2E3H+Djl3vdmQCGYOzsaKUhSWco
Mw0cEKfF8a6AYWTb6SJh1ibzVkNzYkoQXHV10NKIRBH0q+tiArOz6CmeB2JjtRPfWkiir7Tuw7eU
pCYQTLLfFnHsyhUtDsOpXCNgtmUNKq5HVoBraSUDC5xHDg5TNRyOS4JUruJmeCWnpDsFNUZ8dj00
VcYY1LFLde4LyYCr8cZlU1eph/5aYyTwrSLDQ5/Vm4kWNlLX5aZz22Q7ZP7yIFq/O6M6S9+nlBXX
xpa7ZptP921L9HQ31CPqBCt6bWL4IqSHhU+q9ZbtpGfsvrO/nOMwezUA3Pd1hw0SBQyKLXUXFeW9
jXfhSMqSOo7GRWoIoztehmFfGGTwtavGXww4emZ3TQ6kIzCW80qUi3v2iu48AkrekNgICGm057Xw
ZucaERDIeBWAoNeFn29kUY+72gsv+drQ3zJHMWrVekCT11TpTnt+tyr6RSDktj4nGI7l6MtHDknL
3sA1WsmaV1k5hHY4Sm7HsXbOJHmAHdXX2PsY4jlWs15YwWFlVW9OXZMnxC93yaxnCgUA2utRayEj
JZ3T2wLvQxRmRmSbo4nuKxuckx/F81UWeGevHvB+XtSriJ7JBxsNQfAhuE8fTfJazRgzZRvssrFS
Iw62Ub0Sd0HLr4jnnU96hktHN47Qt1ZoZlbgFJsnzmXTN1GlJNkqZrU6Bd7osNjcpCVmEKe1wgdy
MeV3DYhQb/Kp0FwNVYLD6pYWa7JD6JW/8Vucuwx6dD5sFZTFEKvR4t8VsEoID2HxehkS3b2jPY7s
dUtfi5SvjNET9LeSYK5u+ZxFykQsBeOPGuwN4TFpaTO6+x4T9C7zNNFFMmwxbxf3rP0bm8UHbJLd
7peMeapww/w7ArT2JEiyXzHeWmjgITzJizgB0QlsyFEBr/Gor5hETaS5ec+DYGYEturJxdyydtnk
7xR5ILuO/KacJGenohepRp7cvKNl5nvtg1D2g5/C06mbjOSlHro2TnvYfXPnHcrWmKNhlsYqD7Fh
z0TU3g/wg/aAtdSeJYUhEp3Y1YgT43ruS3FnGgA9lZ1UgIy8btt6chtZc4ZugNViwq71yYZEk7dC
crQoe3gisJfU3HSS4y9dQNqCSQQggsk2rXFUypwZJXA4suaYR9bAbtPusxYCoCXYsgfXCdudtue7
VMN4mRdJjzB0yd9zHGt4hrUUf8ol19uEe3PbBrN9ZK4f7YBZ6PsFrdEOV+pPHbbmBn4rgetpWJ0U
QdT0hDOTH7CvTBe82bw2CDi3fWl/wwQUrImLEzvaWfAYI4nXFntIdcokT0IwCXvnuKZfTSJbdnjA
8ysE4sxM+tKk4xojJNNGupEfYhLFFZlKeb+req5IqLJiH1Whc/SSGrppoq5yz7zOeqrPDIBvJtK5
f8qyMUx73GZz4S2heyC40GWkHUZd9+Z2Su5Lm2D0Us77vLaeSYEhF9Gggty2VVSdapwa26SZ4k1s
VPmEEKS/CX2mDvbF0QsB/1Qxs3nymgSZH9FkRNEN+mdbjQs7N4cC4DsQD2oTA5wXrM2XpIAbXErx
N2eoqnVnN4o4XYF82rWRv9PIGO6mRL80l4FXbZnrBCgJtrtxWyes20tPyi8DgA1KwQD5Yr3sh7Af
1gX0xW5p/LNYnJLPTNNvHOyJDojJHp6XiOZs5QaovKfqmUB5KGJ+ReI74hWVHhga98fCzEysGE4e
0H5iwXMGdmFgSAcU8su+wJFqQn+HY9rfzQrB2KpprOAU1lO2EW7q495gBmSVGxx4eG0APFQtdH+O
8vk2iBnJqiRDKTqEpETx+Stdyo++ldGrX4LbaoBT2yPo9yVbDuBKnua+Q5s7zKfeMs9BJoa7BEQW
l/Z72ONNdBPrA831s3DzM7OUh5jkYvLFndti8qEc/NJjMACOY5zPkP+RUQkpMG1zaqR/nUrnbAnm
LHhCuutCW9eaJ+jawwW0j9BEftSTn+1iUTJxjsmdbIY9JofyZXF/0oordoFonbUzXtzxLenDRs4Y
I8oufTQ48VnFqidQSs/43Plv+5Y30Y+pltcJKjpPyB5Pt6fxmWkQZWXylIgQaAZh9EGGz6s9Nr1X
rGVX3bgq57uLgXTKZhi3Bo3hqs/oxwvLZBtP0r9IWkH8zNjuRlXcZ7xVxyJL3mk7HBU+Kyto5coi
Q6cHW888OokOcBqG2yqM5e3c+N2vvihCmmZEZERWeQpTeZmpAUgtx+gd/T2FOeX+IxgWJrcU+byy
llQfyeI0u7Lz1iB45E4TrXSa88JeC9LFLkcp1W49l7FjUgRm001VtgmcUK8Q35yFp0HwVhNnlQYS
zwX4t7diSoRuTHOqeoszDD84g4bAUmAikk68arPU3G/q1no1Wv5DoOJbzx3TtRL6B0a6Xddzzq8U
p88yFzAQI9Z8DNTr1g3vk8U9u1n00s/VDcxtb1Xhl0fSCYsi8wt9TJIFvIhXPdk9iiiN9lpMWfOa
oYLFQk9AUFq/+5b3ogowkotmz56bjpum8+dGuOaOWUz5PNEMXc1QJQ96jJ0D1jlsqOgREOci7k8H
0+8TD0QXpvPs5Fc2QV8+YvG2HDnb+vpH5Rg8g0rxSxGfoZmADOPAEExKtwYqUphPHy3EbVojL9aI
Snezbdc7K5xAmCLlqahZdhn1z2msIg5Hql5Loe+QLuNGb4L2NWksua+SyOxpsTzgKq13UdOu5RAT
cFH2t11rme3E2rHFHqTONUmaHPon6mbkHO3NIhjw63TKd7aiOA4uSpOcaHAi6nAVpZqYVSQQOILV
9Cgsctj8quEsqUd7h/Kl/pj4USdf+wUEBW6pcExzEIll9uy39g1OUMxBdV6dyvZA3mmGNKoWZxv8
5jbuTHbOcdk+d06tnoNJ/oomh/GHADyUEO/xUgxFj9cisx4a/KHvI8/2Xa8DdZ5Tl6mr61r7pk+G
/YXeAfk17G6kgfrg0cZhhJXgf2uJ84T00vIbO6fzn6CMri1MrGTskaWYcyKTwbpwO4CUJmnMsStB
+ECa/T63HBVjOl4fmP8rSJzOvE40R6GeEhlHtXTpVWeclTLbHFRbSfQjSp2w8M/foe0RM67VtuD1
3dmdY0ibzNztmMlxo8t4ukttmXFazJuT7yfDpurUt4RGFCgi7jjQ1/CAS9nZQcMQOT5Mg1ysS8/e
pPURq+YW99C0C3nRqaVKfQWfcyDnXHOulC4ZpCOxR1lVgKfOHeI/lig5Nsug92YCHFMWPfoWwIx4
VnIYlZJAYyI6ghNichIaTd1u3JTTPAXYw9gJFx9X5qzV1EOQdhlI5aAz/aU4t8QJvpBg+ZNyXN+H
jKwSuPmWWaeWgRua6+HKsrsnIeQLH9ud8BYdoaR4W6QJGNPxd6w1kq0nMXUpXPlWJzfCtugNVbpz
tyUS9kNYWjidSXtcxwFgeYzPzU4mdRTvKPq8FxNrZ8Mj2JC/yTYd5XW/CvCl4GvF0LKeM1V9o1dR
PTXWGK51mDRvYFjc+5SB/51oW3ebzBdxEbAUfZeL8J2pW3hPPw5GnuUyPfcanGLRkq17PPg0mIx/
nXeVvkYNlm9VOOXHYapoibaR2rZWXe4tK6nWTQflCEZGesLFiaJV6pqEeryJ66xafiDGsQ8xgtDX
pMa0VmSZpsOh3v2phgsiwxkSoBNvuxIDeeFG+MdQbZBdSKUVECJ35PH7FnoK1yJZL+1hQu9+jT0v
2y51neLmZ34JjZmO6hUeS+RLJLcN3+bM9n4OWJfEyVryGcCy7wZrVy3+q1NNdr71Rn+SW6gW6WfN
Q+av3Yaglesk7ufHpQxxQBW2paMtkMfew3yji9dRwXex5pFKb+mXR1vEHjzYgt1xzj3g0/IhU4Y1
M9QYAaI22WWBc6EH4v63K3LYyJSQT1FeEd853AR4LU6F70lEMewdvKvFcq50GW4zHxbDygNmjTuw
ahGQ+kX9zAfpJ/ih9SuRD+4toYQ3AKzzXVY1/rVMQmdXOGPCMhf0Feb7xj1hkhCEYvg15sS6jQ6Y
xoansZ2Xhzwa2scUGDecxNDejhYSEBvOyQogFF32rmiKA8amSfPRqcH3Hi2IM2aHNbFE3oyuBW8R
xMxywI54gfb6dQtwLCHBtOhNtAMxRS99bvNoQ7wvkknfGASEqu2KnRWNzZvKQyEv9yR/9Fl/bkwZ
mF+6kla5As5GSAiXOrhm/yaGLBX6PpJQH5z8XgVhuSe/d1pL+perhlyK8yiJv4sdSUod36eLBuwZ
A+ENYUtWV0QQD4bFbcwcYWfJUa903rRgEOJNk6IYNdjMQ8vqNtaUS4goYZufJdZ+bMHds9/CeQQS
6qJRKhv1piilDuEQiLXGbLsdQ9RdPnFt95SUEe9/iYsLfDueh4ZvhZyJ5ChON9JMWwud7J7Wx8+l
E94R9eZCXOn4bObk0EKx3tOpdVb4m4HHo5fYEuZiryoDerRIfQ8+elVgkM7bkxuk9woGwrYehlPk
2RNmQKbwG4QZ5Zaujjn7XSbepxrz7KbMSsKKXBsfM7YMzOEIsvsrz9dm7/s4S1m87OCnytBAm1k0
L7Q/mm+kkvf38Rj0rwjtMzBDHXUxrbudM2j/lrMc3DUM3buSt29jD+IXyaH6EC7OdCuJEIhWdlhE
7/RgOeHTL2+uKjeGSwDSLoWA3EHU2pm8shCGxC3hXjkU0v4TDZIzbW1y+4CTjhNjx1JWCWum24RP
7KUGYzuusmAlZ1jHFByRXo4gb2FRwbBhpBrAyVmwEp97mWdPOYG+aDCD9poE55H86cvEJSKmeG7I
+SpSEhEuWMPOjN29BMAMVsyxb2mL+PzRXUj7oqOjJ31/oonOWZaceHwsxW2Ts0wnKPiY9EzrSqPp
arzhNiqKDVpm2OputqUCwt2pm0+z6Keqn8KnahqJ9uriOfOhZHTlxneWV6itL0uHEtjDNrUjeWBj
XdT/AcTIdT0T2xXX9IQY6JAanlrP3WilmxAd46XtDo41AaIK0n1TlsklA4Cqq8UEeQjskGJ28Cwa
L4l2j5xg8TGnGmXTzu7ZFVd1FwDrkChmiToIwCci7ofKEVgJBnmmKtYNERRzvbNBJOWA4MLkwfVd
ecWhrz4iISODNE2aBzXMJNX5vXI6pPgQiYiT4Ti6Wozo7zoX8hMLmKse7bhpDzqPKSI11Uq9cSNP
nyxXAL+dgazu8gCvYRvT1rRHX73yu5ZdT0DNZVCB+NFdht69VCzFXWTHeAWcpXV/knzCoRemAbjj
sHIEiqC2eQrmy2KZD5cWcu5G7qenclBG4KutfcYMge2NfsmLnHL/tZ8T/5qJVH0GSuXfM/j0j0og
DLZlDFhCSSvJOFV7SO/6ogu/Y02vOchYZUUw/NLDxfTslHaaomlnZMm7BYUMEbiF3+yXV3nuk+EV
fo7sDEqTX2E378OuvK1aWzBiaDMbGgGZjz9bS9rIz+aJoBaZPqQQXOJNnlgd+06tfsy+59/KJive
C3+JLu75+NZMtfdqLHegOjZx+ZbJcDlhPeSvqzGkDVFYFEzriRjOddjU8iGsCQRf16XnvHVNLA6j
7ome74JE3eV2RDciaLv4Dqkyvd2EnCIIUM92F/afdSXqZ4ZI0Qts/fq7xbu/tTqufMblzI+Kk+Rh
rtLlhXy/5LWKBa8mfsP+u9CWeqML7P0o8N2vIeYgIXDh9XodR/jFHXywWp5zaizPY0sh+xs14fQp
lgB8L32bNVHXYNi6gFidua3cZ0uWydGd7PmsxxHPniPyte139cqeA9hYtJlBylk9loFaR28LTRZe
gLpovwdES5wWztocqpeCeBgOgKu+KzswOYN8ZPOqfg2Vqe9Upe09wwbLvaj/4y3HvAyBrPWDVGzQ
WMzhCX5gmd/gAYUVg6j3Bh0H9A6W/Xbr1k15x7gMXfIEfgdOPTLRVSXK5gHuAGGrhOkSDoGkGmIB
Bumz6Mfi6I1zcJwiCGmpVzc/0X4zGKwduBREj/u4f4mbQo0fjra96fOyPrNggBjzUu6caGZd7ymT
J3hwoqWKrkso2KTRFznnbPxOH06mx280rMc7247aBzn49S/ZmuKMkzI/LbirP4G5Bueob5rr2PPJ
7hHO4H5K09e/cpFjxrSG2nyvkJ68Zlp3wABdH+5gAImOENHR88iEqaBU8KiGm4QB6WMnWyAHQS1x
mHtRZ99buveeY78sf1axfiZ9tUL1z4lkmBs4ANDCyKhyISXeLWac3zDpJ7g/6J0azlOo/nxa78uh
62nryXDoCKccJy6yaQYOGJZqFvuUJVBVN0nv2Mwbpii9made1hvJ1JU1Iq6CnRsn/VWSsX8hmyXZ
aFxaHp0SV3OxFgGbjQCBgxMgsOzz0HoTY6vKiBvb+DTs/J7gPqn8+M0QkZlv4Pq/eqRHZRvU6Mlx
KHV9n3Cjgp0XdN4TSHy88XbZ+j85GnnDKoTd95HF1UhzpWj87ND4+GLXTIzx9vI0Z90eKeClM6i7
Sa39sFI/TB2iLW848l/FkTs+qf6ys4Vq3MeYUDu4t05ILPb8Dhb0YnbioqworXlPOCPxCxgmOID6
6wsylz72xBzH/x4X5FzpeIxoWQJZTNSMVMRxrvFYocjTgafV3vWUhxSSDjb+XKkZeLj8jUcHIbBB
guo51baJ3ZJJh+Pj+AXdQOusc7KPqPOKo+9BG1wXcY9ZxbftFFJO1H7o2Z/ZdT2H7Z/RzXyV5xYQ
grFXr0ha2T4gPISYS6IyP+gid39mBWLqWXsVBe4yO/t5APXo5oOC3dgT8UswK8O8oDqOMeaArc8w
7Q5IDkFG2jPsJl3UfSxZA/u+EZZ+yfzk4u3kNFEnzac7QDiX5AGcMtRWd+PiWgVKcKo1UPX6PM/G
2jCrpcafsfEo21pBM3H21DY1Uexu13y2wYDhNiyy9C4J5C0RrulexG38mJQluViis6ZDhn522DG3
T3ZV571JshvuLZV5H9aFvuxUl/AussmNdLMn1wdoeVjGOqT567WvIbv5tRXXzk3R1NY92br/JMT4
q+QlBLsbumzcAnPzVw1qkts+yvI2uNT0DE+pmO8gdCS3JBoTncNs1r4dHCt7gsnIVvp7wYT3d3IJ
JChMQbGQIbz5ou9ZhKUQDU/BflZxfxuqRuNdg9jGlkgbdcQVE1GTMRi3s+HnuLClaGPKXTPkDjSE
7iNvOrkOAoAqBW7FdVExYKomBdGNYzzzZuHcVTGmqpUoUeHSQJXLQSuvPo1etpz7Lr3pxMCoQtIb
dFFqFWsDeod1hRMwez2upNrkYl9OuYWR3IGSSZj0ymjjcUKRj5OhOJDj7NyR4fGRVdBZLH8gr9Vi
wc/qijQsijF/H02AXH9/6cRfZYRhSM/Wc13MrwyDv4jYSh4lLp/HaR0NJXWDfed501yjgSUAwEGy
NOJbn92Qubszm/kKVf+8C8mKh8WGxoBs+Ah3iA/Te8B7Y0q1heM7HO26S3CWWFeTbah3i5wDsJtB
/MjwiPz+J1yEpF/UVuAAGWh5l7xJ9DkX5dyfxDIpe0kzhDrc27rJKHHCYSnWwTIlV4vV3yOVh2TN
5rwGZZycHNs2v5h4maO2L2o9Gm7SqciC7Ub41BW6jd9/u7/K9vhyHoBBIfwQfeqX6xvTw1MOBKs9
FD7WULgyYGGAWf3Dxzhf/cAKyV6I0efyCrC0O18+p2Fg7HVRE+4Zf8IbG4SPI3TUZjNNhXoXFPCs
kXmzrhxY45EZ1H3KIXTa0BgHo96L8LaYgxzZDC9LI6vylkAlUAp5tFhbL7Ufmz7vnn9/aZyv14b1
2nYA3COd9AJ6P19kmi3IKRoSPHtDJ1gUFlHJtW/THMyiHBY2ZchzmN/Wdlp/B/BDhHsp7HUyFMlp
Jv4Wp2k6/5RZOF3/8b0uNvX/8Vb/l9f6g7htnbJVf/nL/4DnxH9+y/H8/4726TCoQCzrskT8xjj/
q3hDpV29/Vmm/ad/87+9886/A9NQZMcq/jxmyagHUWD0/+ff/IseG601em2mr/KPeNj/650P/53n
FhInmUciQEfEM9zV5g9bPQJv8KE84UFAw1yq/513PvzLkiGl6yiU3w5xeK4nLm/Tn5eMPEg70uKo
a+3+XoFHOZQ9h946lmYXWuX4K6Pw4yxIB9nUJOQQvNLthkS5B+w87i6sSYraDpgHshUdMvmtAyey
c0jhPAJuL9HfAFdCiKDOLmHVR6AS9a4H+PFTi6jeLcWU+fyRTf/epZHdnWkrcpDRU6peGYMnz31T
dee2ZpCC0qtPI3YrO7jypyU4puOIAAJLclgcssympxSPzMmMZw2ouMaPKF00PpTgCt/f8KoE3Ssi
5wWBs45KF4xIdH40myVMFXxQ61J7+jh2dfZUlb7H6tCqkRKhmBhFWV5gcbAGZnSbT55XrzPPaapN
YoXybKIgreD6+fKJGmf4HtrBAk3aT/tjE2bRI7gw9MnCztESgGxMbuZcjyAcrUkxn0vc9JZdcXim
O5fm21ynNvsEJt9hnG8ceJQHPLvjR22X5Q8LHFG76oquu+3zySIcrSqG9Vw4kkJ4dK97phePSe7b
r1ZdUYfBmRqOczsgQIKuvdVuHP8M5oILjkDq8sULF/oN390k+MbrgGB5I+pru0hx1XObq3dlGnlE
1omPjeJJ8CVZu1a2i+s3tzPnFkQcDsncn+dNRH5BQZ/D7dcA7TiyYZID+uRoBu1RsBm68YTumNQY
I6Dik+pwbyaiYcYsHpwV4Xv4IYkZitapWcY3dIrZaZz9kT7fN5PB4A9wbqpy8LZx4RMspMPNMHX1
JrdRJ4WLVgffKtPnpqv7DbCo9sqhh3pvWX65LoOpvWU/ivc1nG7gDKN7m4SkUxE8GR+UKe0r7mh0
FFbX0nXL7R/tsiynxIujO5LUs/Oc8aBqsnLfexIxd7Y7dQR7kj1MUuBji8J4DHVN78Akd6SGjxgS
dfMEMjDaxSbw3lLnclSwEaLEsHp2CmELVV73YtvNd2L4EJj4ONi4Tc9dONAqqkxf4a4NaVeUqFf1
lN01AqgKkbuqITd0QdZKpufKTPSIW9OYA7Ge9N0w4OX+qiHx95H3wD93Dngw0j5UdbD7KTsV8G9e
O98OHoGm1fmmdh032PMPpczlp0vRkepiRpBlt4ecZ+rG5vKBo+jpLqKST4/kSjZI0WrlPVeIim5k
GbgH5n2MBGhWEVbrj+mnPRQNZVeJEmGeou4dXCQWMWOC8NGvHCZsfcpCAZhTj6RJqPkuodz+hvuT
/KuMrLoVTYr4rpnaGIszgIH7KQgob8b50n8N1fD90la+SVNvPM12JW/y2MU1O7rDwp9EtkMxGOc+
RFV2COhkhauokcNjEE7iyZT+eKD5Ob+HRVo+zr2o9UFQNLzzfKefiRpcd8WxqkWUMYvkzSEUALwB
GGFIhYnvk7/VVoQmIoODxF+67S6vs3ZPm5UuxYUMvG9ovN5CyHMfB0DIp0hL8ZCXnUtMZyv4kjCM
75LUOOVGqNbZ2hqE4d6QpXK7jJnzDfAex3SCKq/7pCk/Mh5h7mrkimdwCv01ATQurralRWKBVdrB
KH9TVSXstkLPxAJCzLCvVNQ4B9zE8ZV0huzaCfIcGamUzrzSluM8Mo6/yH5VYW15f/0bP+/Lb4GO
7XsPpUyzahBoJycsiyQVF6UNiJJDw8e41AviZxidvk206ZqAtrUywSkDrMU7nzEbg9c6QCa16nyf
lmPbbcmXSE7oU5IDrdAbEgN6i1hbaW0ad8pWSdg7hylwym9IsMc1Itx629kMkDX/s3LGpXroaDTS
SkIg4aTh7ZCl8RmNd/CRu2F6HuMo3zmiXuCj9MNVrEpBSqy03/OFCcMwkGqTVRFj9FL6V1iwuYci
VtcR8wewHRlOb7+rrqp5Js61lmbc0kF5d7qi3haOpdErV+rFStqdCswLI5tmz6ufHJ1cbZFQJBsr
y4efCKx+EQXjb1VnMcktnJToXWQqBWqylKDHvTSSWYST3nIe9TeAGq1vDlE+h3mJq2NsRSc71rA/
azXZ276w5tcZ3WBCbyHW30REmUJ0t9VstSc2mD+ZmvnTrpS4Tym0Xwt7Fsei6ZlN6PT9whsoTsIT
lGQNWOsN/gLgC7ASpl0fecO9M3jZmWiNBhd8099oIa78QP4wU3PA4s0Js4P8h7fboBsiGyCoxbVD
xBJoziSgmaqYdaKwC1HQ1b7JroRbBYhtmmVGzovpYJ8mNv/X1F65b93spPPIZOtIzu28IXgOqY4T
0HZGHTE21KPFWzkX0PMAxXx3iVgMoRDO6ZkY4AHdgdPaa/LB2/v2P6k7s+XGkTRLv0q/ANIAx35L
grsoipJCS9zApFAIO+CAO9ann4/ZOdPZaTbV1jdtM3WRVVmVKgVJ0Jfzn/MdjaS4tGNAetcJOCcM
U3+q0qSotoLQe6RmOqAWtNrflcbOs2GLp6DGYYDPYcZIaJMeMfsjZCv2gUyoZlrNQtVqDZLH+1VT
+nPxPT1eEC3RSWraVPyRTQxz+cwEX5ybJrjwsvAWJu6cP9vKpI49DjVtKFY8Ti90mH6hP43vi+sx
V9FnNw36Ld0Z+QcLYvuYeYScG+aE9p84IF5U0xJCScQVLXJ5JyWHFcIvp2NuY5MErUvqB+GGZoSw
G89+ULifShTxz4RfvEosPW0Y2FImVBn+trNl96Pxh3qfeOWG+h2FTlv1D2RNkpcCB9ttHOZ+kwdk
sDo4cisYoNbwWOsq25dQcvZ4H24jOWYp+OAAja2QMuoH9oBx15cFE1Q3WI6CA9lLBjr3SI/qdGxh
2ERA1c2DrFzNhuS7d1BDGrEGpEnXTMd75WJv/CVa19wHiVYRft+Y+V7LSLCy3B3V8TscaT9mD2kN
plfku2O7lnYXCeUia9HBElAlCW646jf92P22HSyn4D6w2k/ehtQHhRlATCuNGQaUYASS8GrYrX0k
euwcaF9291kVNx8u69laORwpXFVBSuNCu5U6o11lEfSigFu84la37pK4HbcgSeNzDVBiReu9oAyz
pmoi7tYQmMR9MvQnIeZvy1IMgAe2KeajnPa/+lLRv+7OxUpw1LoPi8bZIo60J70kmLsX9HM1squE
nTU867jTP2YHKtyUTcN2tKZ7M4Fo5hMTjMjo5OBmkEbVmNgb7FUe0AMZbm2WsnRt29M7PzTcZZW/
fHZc6DdxbuZbh6qoO5Ox2Svv960ty+u5v0uZ+VuZFs7GTUxjjxM7Pfqx718lWPJV3EtYCph6L8L1
y1vHZHw1CWTcVcjWdwNoJhIisnCxKlUgJVCyujvuIdWVAYT7ezHhhzg6ri/2JCzMMcI79l3p/g7T
ODx7TGVWYIayJ7trW3pqPIc4eFtn74ZV6TPLZnlogU1EqvV/JT12Qb/Oyyhx8v5eO1bw7jhab+q8
rpFY2Og5F9m5PNO5Scaiy+wM70bCwDR15czqAQ2YIpV6W3J12ocdbbiG68+PlOKohfBKfwT0HUe1
gd3Unmj7GW1VXyZq1RrYeA9mLIv30QzaPWPUDGeUvbM7zuAz8+mtn93KEgEeRXNq0TTv5+x0Mk42
knPTpjZZnPvQy6gOLdxXYjgNb3NQXdqeBY/zY/OWwvb5yVSsOFoJ7WBupxw43lAQV0vS93jGuYpf
E4EeVvVevxFymX7Fc1msvYx9Lw4Ev3km06989vHJp6W78VuU6iF5DZjxr5Hfbjiv4b3rksOSFDtY
WPJgVeUH6KLhgR2VtIzNkTcycTARXTAi05xlxDULT4scf2XZ2MP8ltWROcbMYz0MB9u1rKOPy2OD
ZG/i14cFPabBOjQZakpaO2Fjf42DGX6RgLEP+c0ewxEWd8NYdr9mAPsnqlATmtcZk2zFCDg0rkaK
YJtb//Qy8vY5o3Mx3ABIUlp0D+BOa6TyRn6aPDD3+EAH/P70hlNyh73AUhwn2tDYa6jgZ7wUkNqT
bH6K40xxXsjLj8IKF14K/LWqXtJfXMYEZVe4eCA8Eo0AP/rDMJbxsRgWOLnMuqx3NETjZ0UcbIt+
L/fggcIbtr+UVBBPFZceHVgPXVDpdTyoSAV0SgA2DottIGdciuEIX4mb3JDhy+HzcuFnv80MoXmy
RmII0HGAC/UguaC30gLkN2RnQHnToJUF3yEH/kGHdxMxo3Us9XqiapTJMzQSfzSPhYc7rvIrmmen
PdXIzwGoEFyVQ/ZAfQCYm7Ke9yrwk+18S98MdqMPpFz0e2s2wwfFXN0m9GOPgZ4I75q5iX9R1cz2
Ofc1lJDORV/yEmqyq8E/20sp7zztVO9+EPecjVz3gCrc7uB2I9qHM42fFpgOE/eBi1cFGzoMnLpm
iacwKdwJO8U2MDIF4aiP/T3u8uAX6TganmLlYnYpY/9n6BmevzIIzrxIjkgbGc7hvaaB962dhmw3
MwzdMxiePrw6rdg7sLOAi52JEFALdU0Apx8Ld5muBjWEzNWBAq+pLxGbuPCXw4JS8RiCxP+gUD3b
ed0o3yT7G0u8sg/+7FQbclfdOdDChM6spbfpmWNFIm6bq3a1RytzM3S/zSUZnjEijj7+YUedPZca
grGfcYiSmgneYePhaVHiOytqmifT9DaIxTD4EGCrxyVoZy8sHMBfTdWnEebJ/jz5izh2sRBbY56r
t94tOLkuPk0WfN1XqS6b+7gb3Puyo51wtSj8fU3KEGvlVEI9FL6WFw7X+EmBb8+3wCNLTcsm+pg0
LfPOLHXLg/SIlqOldk+55AyLmbuo9kSFnIgi1+CO9BBEl7JWPzwTM0pzo07PqkggC8Oyi7sYyiyB
tPxA6kOsXDUux4rj2bFtl/ENlDS1lZxCr70Y2U2W3H6pxJQdw8HKPxO/Zy/C+XvvLq6EmSrN5K5z
cutcq4EKTQtTp5uX7sGUw9SuFthQzbrJPfdjcIxU0m1hmx+VR/0x4sEyvToFpMKVAByC8KAds90k
YdOfjEVZzH4hpK3AAi7bGebUmX1cvqdTLF8Gv3U3i3S4GARareZANBe8n8EP6sT9Y9C5pEz6AR6Q
Iap7MFccsfJbvyF0uGx4s3ztRa6Zp5fYmcSuU9YCxGgsvPfFig0ODSYTaRmUJ6NwOXVmOaMHo3cY
iFHbDnnWwzM4Bx9yRAFJc2O3IFptmWrxf5KTAxXgZAZhE2YKWF1hghRqXd+0B6viUyIwZGF3KCsy
JCYt2oXqh029aO/TcLhfTEvOcSksPHzCvtFSamlbktxDBpGDV83x1gAanMV5ec4clz+smOq1Ozn0
efzP6r//L/JQmbEysfu/y7o/tP7o/u2h+/j6rdK/S7u36Sw/+Zes6/wRmBZDBgL7aJ+QzP8m65qh
LW5TGBAtIrDQ8v+SdW3zD5p3EFu5vDEEcW1+6C9ZV1Cb60CMIeofOhYs7v8WgeNGHf176t7C30eg
0wQmwBgQUsJ/FnV1zTS7691hJ3MdPo19N19qvn+klcKs+zTChUGHGZKk/9sb9fDvv+Df/lbfaHl/
Djf/8292QBlYMER44VBI/vGbe/riYLQTs/McnIpZZ7vyg9pozgjZYDl42qVVpOusG/u3EqYkgTa8
GcU68Eu7X+MaNr2dWUo8R6qzy/cYmjRKEpZS5qZzotdBh3vDVLjl10UFbm0/iltvEfFsg8HvqPkG
yCaYP+2xXdl67mq2Kdt/r6jt+JgbEb5UZl6lG2ISw3WmgURGBQHUU4ZMnXEsirHMDZbo32r4FVtm
bBRkVNXJIZCD0rOdxwV481J/QgJdp9omXNNYTaQIGmEfte5UN+ZXrt/+K9zHdmfHRn7XYX5jheDC
0GCX8OIfxlBmmGsTozmwZOFzi+ffHBKKHb0o2xiW5EGTKYhANz4Eae9vh4l4IocWbOZW/ZJl6Nij
ZD+2RvhUgcExKRSPc9WyAuTljXDV4M4JbedCAh53LBNUqDBkkcaeH+xad1tLTKjGjcLHdDjnaio+
QIGSogsdiJIcedKS8J3d7eq43FLbhf35NqNFTtt5XqfWiuZT/iHsxyJW44XJWnsH1EsflhifWQxx
GstcXwH6dvo1l3koQgmGMz1m/qaAFEHGA2lGu0l/EFjZt05muwfHpL7BwGqzsbq+PzILuI2rU7Fe
QMqS5arFvkBjJYiQVLAQCzrI3DKO6BHMdsvY0WMPpx5GO/YhIi6G8yWtIdn3Dude3/CMe1bU+mBx
WHmcl1IVlCSXTpSonn01uHmEVowQ7HztEnBIIsQGJ4yAl8FhHG1HfVDQUzRrudh87pgDcXv0TnCm
msH6hNlWfXE+RVZHWnEJhKRjzzZd3OEebcpo7MzsPhfwKTS8tsR0jCNObHlMl6p5rcgW817nHcqq
uWjynZ0L/GONT4cbIKkNz2PR95qHiuCCWJmxeyvzIvwQCXTIe0cVyw21Zpd3JaH/3WTJsoIPmwZP
lWt0+OXw0UWtVy9i4xoWJL3F94Kz2dHoulLtPFyFgeXDSdI5OWLM4yiC/Ou/Kx1wqY0FkLPWt5uU
6KVBv8MYmIfbOKO+WVQr+GWNOOBuALKXmjTiwix0nhsyxsRwmKtg6wlurWn27IxUFHiyvNhVM7yE
SQvfjUECxTLeJOwTPsBu3AQuUupxHrX1u2nxEHt2Zb0UJOP7na4s55vjWRxuHVvMHXnr1jYBvc+u
8Rig4Gy9sIXZqALyFyBwOiyNFDEgtBNveu5JiEILaI1TJ02YsvzLpjM88x97FJGRP1+ltuVicA6Y
v7yk+FRVeod6upOm4Wxx7tqrahDlfkhD++I5eRa1DsUcmsxfgIpxF+qsWC0Wyp/gmgRIxdD7XLb3
tbeoB6yIX+AzPQAZXbWOdZnszdyX59r3uSAlvCJ/rpD1Kx+7S2zo3QS694RsJzZ6nJrPxeuG7QzV
/d6cKYiOQBqOd7Eqpu+KDkkCbKPITiEhwpQHOKBtbKkBRK+62bU+fcTkYyn68oTd/jKBDmbMQ1bZ
jiyLfMjvtpmtkgNGMzvroCaHpybjTVfJptaKw4pnuT+KdMaAVA/9NbQBQ6/SjFkOqs2Av235Le2W
9QOqvwNOjo67EHjkebAd1JECZS6cjGQzVgm3dp1WDwb+Y0JEdm+vzWaMH4nSFkjlUAI0PsOCi0wC
UVIbVX+PZ1YVGzIXzWrK9HwJIE+sZ93gjQex7PNkxR3OoSH5DOAdREbtBns7oPqNIgugNigQxJGE
gOPQpCeXz5EQIyRcgsP4fcfifojhaKAh7/uS0B7OviM1AP5ZgiE49p77ze4EPaUJ5a7s2gQmJE+K
OlD4Oa1lTMXWpqPQmXGeSqw6Mua2+8pI32L4LjrzzvdqxciEuja1STuDGX5Acuo8pcNjNifFq87A
9pXEJX6bqdXvuEdMVDfwhdm5oAWHvZQMJTbDMASYSorqhYw0jeKT1e25UdVf+BWcBzW18edcAnV4
oqmXZVYvdaqjRkNdZo5D7j6SnA44sSImb0BEE5TPFpvKUfNTAs+9dd2T0MSPeKKlPpq6+s2AF1KR
xlOCXh1V2D6mLnDoyPk9U0dHBgHDmTbTz2MhyPfFVu7c+8qn42/2qEkuh7F9mIP6GttML1NYppGS
lfFQaie+n4xbpJq8dRY4W5PeAsrobvVqbULrUHKoSM5tRhxyp5z+HMPthpUN2pqXkJ7Dwfxq/enX
zPrOeNbnqGCK+ZAtYbo2plbsDQDhOMoBUgjS0RzYJzCwnbsLBg7LMaZZBOiEDzmdnBPt1y+JTbIU
tw4PQDyyPCfkckYY7MO6Mpb0sZokOOE82xpjvMm4o2CX7sVdOtE2XBraWpmGn31NieD63g/6XCqM
SJlhCYArU8EFqxWrRMXdTmLLi/iExg1nQXutcKUxs1x+0C7LG1k1clN5vLElkeFzEwzNDn/8j9FN
jWccat1eh25/O2pQzOJ1etd4gbVjBQpOiUvOOCjIgpk93CaXYpY94HEwTnn4wCSCr28lnMvE544q
QyWJ6IaJ1GThZZti8pNdFzCJtu0Oyil8MvfEcUG90yzOhwpzw91SpKUevEySlLG0okerjsd3mkPL
R5/c+gkvZfGtJhexjS3nQOZ3fM1liQdFTA26pmsSenSmviaqaMbfZrqQZnNnOCa6FDJim413xhC4
KOOZlT4kRsjOWSSDeUSZoNtC5PZHyFjxDq/ZdEHVKugsknWY8X4jNiZhBWF1GPLqmIg+e0pCyz2Z
wWA9A9GJf5dUVA/I2UG1Y6yVFSxMVnzItekeE95qE4knpw3cNjKGU2QmVlBrB0bDCBSEuoX1Alcp
XOHqG26s04l4qiiTLwZ7sGBKL/QbPoS6egAJazxT9prvs1TBWJjyZVeb8/DmuLo6IQLWBiUmt2F/
XautUD0SpAZIEW7c1F6ei3yef2OqrviaMqJ77GjjfAzTRnIfzjxA6FXcAxsX/hb7j3oJ5sa8j9O6
PqZ4WXezoM+NzY9hxYrnIHnLnNYhqmCWJ3cypudhrJz9UGfD1QjBdWrhxQ+2agK6kQPrpOvAfzMo
7iLS0DZvthMfFESUlaeT+y7IPYD/ibGQPnMHj+fMIcfIcIeZycJ0lsLXjNyzDUjC7zrELjw0qzHO
prXfcrNY9aiOJT4QbK6rwo2r+zj00x2OuXYlhvqmWs6YTLSxHHzJn6AOauuH7Q1DsaJTAuhzPHrJ
ZgECYj2wRbC/9Yk/zCxgMJArRb9BifuBgX8dbj27xlaIoxPV0MnXfhl+5Jm0NgSYCXAEoJnEkHvb
tpXpF4eWcoOdWWfrZCkJLfTTXJOBGbuDbAf1zpd2eTRCxWnTnepd0fFLcCuLW1as2LhVk9C8aCcP
JNnE/ajMYfpobDG1V/DvbflkeGPiRxqR5FZgzQVvzQyPaBJQlSnGkD6QhPZ7DfrPC6gfd2WTP1bO
mDxP0sq+FxT3HbIZLWvL6CS7HhnpKjGwvuNTdp77aRQIeJ0I3/olCRdimRBNk8pIvwB15EcD6tpH
6widrAhUZXwcEjCWyQH1d2czIE3GBqGngv73OHcWa8UCfJoDm7JY1VzdJrt2KliyyUj2rx4f90cR
+84PFyhe9xyAztX3cdM6Njl7WLMbS4Ehp3W92zCfvRnR3ASia1glPp1WvTVnB2nxEEY9A86cc7vq
ADrMAHbKgm+vM5PZixr2w1Nj5RTVF3Yr6V4jWotMw8itNaRPAE76Yl41g0wA+vQ2lrcx3WHKli8y
FP2H4Eq0bh3ZPnauc80MuvswJUXEJIOTnmk/T3gOKQPyzA/cyePPpA7zg5e52UtOdO3NIrURkLac
nXcvm6fjoMd5O4RBcxGL7V0TjFegQJIp3jt5uWlnWRw4Uad3AInHfat6mkR4Cz8GPxlo8zC8B6AN
3Zah3M7SjX/J8HcftSegzg19/lg7hnMOsRD+ORkzCd5INOApaNE4/ZLes6aDEuW4fnxO0uBnn6Rf
tEVOV8Y0MXWIbUc3PaVvYqW8IfzuA0lQvq+yrSO8JBpGkb50Qdi/jjnfHJAL+jUH6xOBRrLPNf3G
x6x0qiuTqe/EScncSx0+thxnHyAhg/lCOv8NKxNBOxnFvsao/7ygJx+XxDQ31qLHl8Ky85UyivRe
xW7+0CydvZm7VtWbypL6boqdW3AnkQePbPN1QACIbJkRJaJkQj4A3is/21k41xRPyHZebhS2oOku
A1rugZHGa29OGWigQMwcDyqbYHlD8SMjCbEter3AzC/xyEy9uS5AZe5nnYs33OaCKT8qRknU8S1D
kvsZM3/Z0WunCM6gkwKKnn9mnMXua50sm0XF+tzTZPGkOeUxyi5NZ7sQcTqCnZPnWPHID4r13pdN
/zPLunoTLzr7mL0Avwf1vGiJNaI50nuOGWrm25Wxq0QkywKSmuwpwegOaybYTF3wJiwyzc+1PcQv
ZeCqowsQ+gVGDBfU1Ku4CcLjYZwAdjG1rQc/NMUx9uGDGkNfPk+zFOeULNS3M06AgqjiE7Sh5vre
rNjzyITE9leQQMRa9x1hbTNRIZZR0kt7gwcNybQcDCgOuuhf+7bQSdQYjnzVk2xD7l2T9VS4s3z2
O6E+cvLF08r/sxcS+lH9RjtD/DFqk87IMGF9ASvVeQ8Lqx/gh1urJDFwkiVUhDvdFghQ/JHokfuV
22f25+DV3ksjqgVZ128+6J2RiO2m/9qQ/1mDuGruEk5qVC6ydvAHygGt1/SnZoPvPIYGq7fldZRr
uoO6dJYaziC89AeYt+Fk3Qo0lQjijWqycj/3NvWat6JNpiHWqkky+db5ZrbFHGA8umXhrnPiRJir
1rBBhgbeXVN/ESHzpnva9VJ3b3g4qaC9zfOqh8LwQgSbok9ZTNn3YDrBNuzMeTMT1QAPx+SKaB92
kdeCO2QECsndKz+j65QXn3Am+LNMVKTKqZCAh+5uNof0XYSZ9eznNQ9QZi38GQzVPM5NoCaEoKR+
car2W/1ZVdr6c/0BPGn+BpoGWMw1WIZQvKO0aonaDAbmNypPiwRhy2rI5/gzhbfuHBEWZAChyfCN
t85UDmMvjN+bW9jiyYxHCEJ9ZpySnI7VMKFtlb5BNzK85q7oyUSnffCoM+VcqA2p7szEoVnAdm7l
rVNcHFxd16cRJ8whm2YeBwPR77hUXd9EdB7ctqkKCxT9EqEP06QBlVCzsZ+mfg7OWTKnEaJHt7PC
2PwETJF8kgElc1XUTcXPl+3JS033PHCDInJi68d89h/mJbVgCszM62KDGbC2bMxj5IqByYQUFSJK
XVxhXm6a0LsJnoPWFDladlQYdX7hZIeLzWS9Oqf0KKB2KTelSRorHx5+Lp6YGhcH/W3RkT2l5YtZ
+qW3CsfOu3I0KB3YTUV8EXmG8j/6aq8d0Jk5450I6weW+Hjme1nGITkGoH9bjY+B9GffdCenQ0sE
cibi1zYZxFZ1Ur3ns22eKWnFguWlBgu4M7hXO+vbc8tvWzdtGz+klmmfTWlQQY4z1j9BNoSL04CG
EjTEnyjulqfMyQKcuRjr6tFDyRM131Nmw/qCuKb0xrUVR5rAp+ivHcjPrxZH5pvEmX+FTF4iGobt
NQ045pfBnPgwMPB/8liZVp7fC4ftaGE+uQTFNsn7ZNu55nK5kYt3qfCxq1h5FZzhKcnrYpDrX/U3
WEVq2PXea8aFYXPpHyURyh8QxFgFp0a16I0e7diIV2SuMd9cuBOIFy+dHYbR5sCZC+etrdjMdEND
MdFErnv0anbC+BHoAUr8jEHWmiu6dkwJhyyfyunqxwI73hwYB1168mg0JrVBRt3+NDMOIAR6AEVW
ecZirPZc1xmMVe1lMBu97Qp6jy1mu/OKv3UP2qG/EurPuLVLttOoTnM5r2cq5TaOnfIdJ/zN0DWY
411ftJ3FxiOGewsYyAtVv9ZLMIJPZEiZpyuUK2oTBi/PNn5JYerKGTP5XNDZbm4zV024n5jf11uj
RMs7DWkqkGRlg9OuQvyAP1AkxmudO/D0TDqAmTMjDqxTwnSPWKu6jKG/lz2l/kL4riRIj3vA9UB+
5G3Wf+d+teyWfvR+FmLxHoMpbKytT01Au8lzfKZb125Yt/I2DbtVWXqCkmQs4I/kPjkijwydaUoL
QvnaO3b+ORgkb9dhMJrAYxWVe8cldJznzFnqt9aO4SDmdXuZaLhIsEO16gpfCM+YYED6IEeEOHtw
MEAU+t21MorJAlXABwvDn0Zjp1s5T7QJkJg6qkBUL7m6VbfUWHO3vZcKbNpWiZCiD7wLC5N9Od17
mfIJpOMceILLOkVmPC/PyJfuMWiF/2DPtKVH+RiQraSRlBxxawdfqAaeu05qwUjf7BgdGNNkOJHh
j90eDbld1l3STG8gENkgkFDns64cf9On10wCUYiS2gufC+wtd0lHqL7wuiISlFafY8FOsMdcKzGx
0aXwSUeCatbpPGGumBpaJVaozu4VW4SNaWacyzDK/JlOWm2j1EZDE8D1sOn52rKNiIfSCfXVnsXy
inA+Xg2MO3QXWRjp6CrbaSXtHzZu4gtVFM4mCwzYOE0m5khR63pRPQGVTTMG3k8tixRrkFeetGEN
D50hCqCmi5WCfQwmpi6WVfLXNMDQO2ecstbaN4Y3MtZULnscrrepO+X0y2bTBac7Rm/fKciuF7wR
1ybvFoM6HpF8xVZKP07mWNZTEt/KaWAyVE95xih+MmIu0KG3uGynhMdopuIiNVW2e981lnqkLMt8
FBBZL7Ph1jlFmFn7voAiu/eWvOUu3wbe2VSGiYxTq7zeZ7q1fnhpKE54P+gZq/BppCvQPsTzg5wK
l3w24l8Z1MYP4uloZRiOuHsOZnsrOV7SmsYjm2vc0g3lK0/bMKxroASc6Ws1XZRpx79GQ98WOL5E
+GTLV59AzsG29HI2Re0fGfCbu6St1Im1nQ1IheaXcvoujcKGnY8WIeOHZ2TyOnmdf5zwC905ox4O
i53236p3sCLw2LarMbhBMlo9Tb+9PK6iruwj7hDgMDWQiX3tLP4RpHoFCbgpn5xpcI+GqLE0FnP/
VectRKKFltWdLM16nzv+VEfUbLUfljRVukl6v3nkioT6TUgCgr0dXOmxKX8t0vefFtHxF+gNW5UM
7VuibxZgnLCMOzJfGUddmDDCeA+faHPSv9iBqgDE1Rg+G4tlwweuOpFtiK49YJxWjzSsuEwPWFtq
ADAO1Xim1g+V7ZcnafFDVkz5W0Iu+sGbatQEc676nwuy2m1DHgTUVKW2McAHG0bDWD5SdEKOOg1z
IXHzNMt1KhixYbVibGJm3pXhVn0oTSt9VMKVa1FM7noYWq4aTtNtus5KV0s6xpdqmL0jP5Zc+HYb
nxP10Wv+9i2Nh2JDqJS20nAJ7nsfVvg8VV8tIJOq6DFGpA318nk4nz2MqU/ZaEMJAf2zztPwaabM
eVOQhGVnRLo8aAVdaWWPE0hFHIjP9sjrCj2fL898q44u+V5jsFbjduD6yoSmR+EwsCEeNMf2n37a
gCQ1TTB7jj11jw4Hem4CpUtSJejZ5YZpkkew1CCB5jBRlKdO3R3T1V9NR1B8JbVyL2ki/PPoNc51
Qs6AmBTAtikoBtdcdxnfAJjwj7Bz9qyqJBeyOrjR6BoiJb34lnU8GCtspATLrUYZ2RrZHZdUQdSy
WrscEU694devdsKWlVYhR5YUhbOwxEjQnGkLgRVLvjBP1YeK9xcbtG72QAeDyPRNewPzMYBvaLsO
u2lCzjrTuvoJGJTwTrz0m9Kbg2/astQJIwQ2fbb7d5NSHMhmfRkY68IcqNKJXQ6yfs7cyl56bjDC
SseTIsm9E1VLGQ7THORe6X5IFwYElmttHGKDDi4HjSSj6K0ggTq5LHKh30rAWip9cmtmPtRFjs+Z
PzlfzThPnxnH1ud26ntgv+R5WP/jWx1KmEOMW+xp+tkWzC9XrArJCxIpR5Ol4o6HR47FeOgDnzlM
oW02mkKn59Ewzc/SdoNqM8qYMACJbKrX6tA7xI1vnnhRxsKjDskuleRBZxf3LWwvOgQ75UonAhoB
qTqPy/m1DQrB3CYNt0JI9nyIG1TZeGYTr5sYDm4EMGg59xl4c46oojj6IdHqZALuhHdq9n+FZp6h
5ZlM/PDLgk1YiUzGWO/D2b2XVZZC6NE2XiXqGhh6EknIh5Xn9XZ7F04Tv6YonIRyn6YJ15XnWD/K
oWOOIuriNA0QpVY6NowDInuFo51EPf/FyJcOV2kmfjCztUvar0RFCLZ23S9McvW9ZIJ6ZfPi7FKy
Xa5i4kHqoM3KKiJfLNMberPYdEVuPCe32xX8/mXbJ9Dq1g7zwc2YmUU0ZaV5DiDAfxUObmOQTSGo
o6JL1w4en3jr4iJYh4jDp6UyrSMO4umepimQuLAsIvAWDREbKtOCwLP4ZkGSN/Lx6hgoo6kauV0r
mB91d5zjmkIvozY2urBUNM7t8NuSbn7uOU7cw5Fj/VpmXH2+SYp8kAKTIP+JDmcyU1avzDeTePu9
olj0TM5LbBptYqDE7EZLk+3qt7SXy7UbhvquKXAHqhS4qyPi6lBC9f9VStgdiQy6u6onMR6Dyu3W
MhuzqC/H5ReV0emevir/0C0Nped9gkwMKNTd/s/afv5/7eax+Lr8S2/Q3Ueh0o+v8fdv+Xdn0F8/
9+/OIN/5w8JRwTCA8dgtqknW96/Ap/iDRd70kA9cGnICh//lfwc+rT9885bqtH1KMm4h4P/jDAr+
EBhq6PQBBe8LmAjhf6cs+R+FxZTycIOklce0PHxIphXeUvB/y3u66Oqgi2qHwAIIz0rtQvIVd0nV
/SRsM4IVMqPCG2sc8jR9BjxgjFRfUtagu0YN1ILl773s7j2MFztGmv1et/oB/oa/5lVkUdMDUmol
sM/OLd90oOiCxx87QgwJQbMS4RIk3DAicYhawzG//GsD0i3a/R/uoz9fHAYSixw1DDdYo/94cZAM
U40twcG6nDMMJowRf9edfDC9/ypq/8/fhFULJxcgUu4w9Iz9s4IrMTrLH6rKiSBNIp7W5I0M2MxQ
QGUS/esXdXOF/e1V+djOPB9PGP+GAdv5Myf894+Mm85YcQyBeO4Nv/y4JQlT1a8gSlnMIRnHA/OJ
0huKyGw9GflosGuc98PKT9oU+slIJ3FPp3Lmv/NPPRMaO+MPXihQ6d4SYzzhhv/AdOi4EkOk13x2
3JRJZKQMeeqW9sYE76+bjSCGTKwrvTrYdFisYcZMGyhNY0Qx44c3LO9tm/20W5+2wcJ0/ytn2e2T
+49P9s/3gJ4N0721mXuu9Wcl2t8e29iFajnbEKmaINj9L/bOpDdyJMvWf6XReyZIM45Av7fw2V3z
GAptCIUGzpNx5q9/H5WR1ZJnlAIF9OZ196aAzMgo0ulOs2v3nvOdMMYfkDE2L8MGJpG/9YqHMrOf
NEgrIqR9RbAsaZnZS6qFr19/Ge8X+nwjjoGgTjq4lrBmG3MYzIcbge9IDR5YMM6aOSGgqhjOa84D
ccbkyxrpc9rCoo4RB6TpCWHOt4U14r+NnS3uyXSReeJKtih2h2g1WNXWDJynKQ4es9HADG1d/+Zm
Z9rHx5t1bNtlEWIWoDvOHM/++Wbxabpa0gwI3nR4SxadQRw2t2an31SafUbT6xY8555BzG4abKT2
+r0WIi2jIbAIhxB1VQyQCQQOjThMUyFSffu2L5W5+Po+/5bgxX2S1ydQO/EqWax0n+/TCshOjCJH
WwGbvCkJ5tj0WYbqtx9oHrU4+GoDzC1YCsZR9AHV9NhV0w0U7XVLJf71zRxrJ4/u5ZigokPCTGkM
+is/x9xWQqPzDJRXcoGRf0uywm8u974mHX1HTKL4NYHhhI2hH/2g8G0m7pQ63ko2E/rIAOie22B3
z3p+FeYNgjaxcXHY0kPAUlDNSiF6aQjmwkdnxF0UExCyDvoMIJaXP/gtZWntbbK4vgUSmJwIBiiA
1b1h41vRlZfp7aohkE2T0ymqaXMXw9pbIFHE1tkJ/HEFyc9Be0IuVrxEWAP71qxO0wpuO/YU2nr0
BndE7CCSsKppwWw0XgiFZ6mR0+XXX8TnJRb0Gj8KQDZoWIEqOJBZPv8o6J5i7Gn4IqbJXBM1ucH5
S+wX0/Gzry/0HuX1+StADIP+nag2LiSto23DQqwpcp93WsYOKL7klageIpBB+S3J5mK8WYff4qG/
MSuwiO14TePmuw/BG+Ci/6jIUcitGh4VMk19hiyJ26ZR4OTT7df3af79p/n5PmeKyIe1R2eaHogS
VCzA0NPR6Dd14sRLFK0PPhv0wtHhdodlRwy7hqMxHfIzhZxl6ZY0ACbQYHRstXPbrLX1MFRyJ9HB
n4FlIggA4Ts+cten7WGbpMDAq257QAdl1Zx3BQ48s6TRVdKIW2iiBIvtcWGCBTgtTiPlPwPohdYD
X6L6JSZHNO02N4tvQxM/+TPSfqAl9jha7T3+bhuLfti9ZSBXl4MfwK5rq+Akt4tpk9CV//qZ/f1H
RLVjmVQ9bNOEgh7xkJLGo9yQubcKLP+8QURrgb6PJAShUmy+vpTxq2tRc8BrFNI0rHc6z4evZ4g5
X9eygE3AIPnQttO3KSrlSanG4J6cZROxT7Ww8/GsDt4CBzJgAfBqQWwS5vAGwgU0LpsvxVKXHNd+
c3PHmA8HGhNnUB4DLxX16tFPPI07I7NciLFxBn492DiWdjJVd795AseVCleBgcki5nANA4X75x+o
EknQdnYaIB1C4jk4w24Ea7HiYL+dorBYjXV73Qdl+ZRW1l3cj1cWpvZYR6PsmFBXq2lO2lNRviZn
+hIHR3iK5opYDBQJvykofnWnNimExGSiGaUP/flOm1j6TNCguLp2waoSZRskRbClSmZ6OhoWO3Q2
uu6fuJhFv35IVPKf92SM1fRubNtBQ+FAX/l85Q5n2VSQoLTKSufe7x2WGLXMPNidubhmsswUvPrN
JY1fXdM2wNCY9OxZ4I6+Fy8bIZYlFrnslb/NxNxbicrhUJqOXImI0j5rn8Oku6tCExWN/YRHNlz6
2o8GYtAy1IriHFMuAweJhNpZRvHt14/E/FudwhQduDAFroMAmcr98zOB2GEUumg07HbtKoqJvLH8
jR/zuqD8QDybTOkJ0qptP4i32EKkOdmPDKYxt9v+d1VNtE9skyZz9xaH4SYbIMl3NGC1JLrs7WRb
hqBcLDqUoLqebfbbtcOoq0N7ti/446kEJxEjRUEmWq/oUcB2sOrXMdNvW0QiRj1bzfNNp0DWBX6P
8gV269dPwJl3+U9bkCtsji0ORS7vDn6Sz08gj6KG00borOrOuRWZdTWRxUI+m4YDd0iXqdeoNePM
s3LA1w6bYpkW2LnViAW5CerrRvXXpmKCpMOzI7vXXA4C327jMLbM9AenQiySeXW/YKJ6GtQNwIaR
xRtSxEb1zOkYHp5Cle5Xke8/uRboFjtwbzrpfTdEdGagqWEItldoELoYFH6POAjn/fTCpKpE+Ved
qzZC3sit6dlFmg6nQxwTaJ5YKFhwfTXNSpMygCHfb5uGyAAt2VacQdaDh2EKu9i0MXPJLEFW6wKh
MIZS2qhNNqxGIxk2IXJdOWDX448O9IOfexVcFOmDM3nrqHn9zVfxt28C/BuHdIejnS7N45Whtclw
cSpJPSbIeNtZzq4rdhUKduwF71f6r6Zr/X8UboxxSfJu/3NzFd77p+fwKf2Vv+rnX/7ZRfHolbgc
BYQnTFc3bRbon10U648ZcAcHim9n7rzwJ3/5q+QfApgJUAP2IcFyxw7901+F9ep9bQGQgAj8/Y/+
73/8AoP2n1i0j0YnJtZHvxIdWxXYLsvkXaWHaB69rwJ+bNm7jYtJBoocI5URNJOHz7JED/5sNlKx
r4XefV9Z7pYhQsbE128ATMSghig3X3Q15bsE3NuKaumizSCvm1kTP6YqcTbFZM9FU5NUzxUSgIVX
V/US/mBwrpEGeO3OIOGizZnuGlGjXog9m7sxtXON+TTq16Fems8+QU4UaqYdbjot24xeexbFJuso
yLwVU+MGK36wx2JozgYr5tWld0E0YLUrvaB9sIPKe0mYS3ISJEt+qzS/3cgcZhCY0HR4CSLTfyRi
qT1MENHpGwxs8XUR7izTG5Go6vkWkToTVZGeeWPkXsiUlXMUcbErQgCm1YgPtq+ILojaeppX6XDt
xUPIOU/a49ZPc3IJJz8q7zpI6K8ROMizRtfkoXLb26nWvW+YfN1L6VSwsIXVRTzVgkOaGxXUVGmj
lLMmxG2cgBPF3dYdx2GJgSB5qHEXHzALNIc8Ec9gUbszP4miU6i/9SZyXOITYR7s5Vg7Sw1guoWq
34l+hM6gfYPA7J5UKGZOA7f2fxCKSUjSUFvaG2MoDOqj2z0UscjO+ML5nJSaVMY5QCzdPCdKuCZD
hLV1ORZpuoaa/jaYOHlsG7U8+vkuO1QJ8UAqlc99hm+Cfjk4kUji6uAHb/KgtPzGzESMW8UHCOy2
+gNxkRiD7bTaeRYRNCCIjDMZhvWuFFG16qXHR2dwtIiDxkI1bXVEkIBRP7E0/95VU7+yIiO7NXXo
3V2Nyb+ZQvkdAVqya4WLZd10sgs6GUi0lYtnyO6QmSoBesPh0Nknzhwtb6t1ZoWvgkfiM8ItrXMD
+8y+rVwMOL5+ioglO+2LyXth2hHcDSCeWxRg2f1IONfBpbd42+cYdhYDCrRTFLI0tUtdXM0mn3yp
eQzwGXsphmeqLRnE1heeqbSlwVF500J7PJ+w8BBeh7QrHFJym1A6oMlHqH7HsVpUq8FmoqBlPDMv
xv6tqZzZJLEfJ5rrltctddgJhbqLvY+BFHiil8pEsmPUiPjJjb1PSsYcCeQdRnyAldSIOc8i6AQY
cn5nuBjaccFPAO1RFq1RXVH6VmEccNrQg0tJYuMKzBtM29GYSEjNMYRta8mRiiQzFHyziNYBx//s
TgkgHKJfqx0WCHOjBs0l6DAB3Vw818ZwoHrnSK73K+ju2kwkO8s6We7cSgUQGuzbkA4hciqxL/PY
BuMZQkf5sFZf/lmOfFz2jprHnMFZOWlU6LRYKZmRwn+uUnyHCXFRsxwQgoPlqIPLolOg5Dk5Dm5e
ng4pw5meXAxIGw/pkMqQyFSlzs3JQJkcMGaDjdL1b34WtkwKc6xJncSdEZFmdloEMn8oqlQBvegj
ubZliIOfozQ6vmacEhTy8/ucvL/bjG0kdCXeC3tfz+tCT3bBuOw72E1rGIDJ49cf3Zmb858qNJp+
8Lo9qme6kWw+Ryv+qDUmLoGAvEYruPFS5oNZIm80d3jUZ/gho+u5Vx5Up45qnQCxn+w3bjdwoKhU
iY9DC+BSrK0pLJBzkyW4jcUc3hOn3StSoJlvPIx7p+p35gAlRU7VsBSteiQvAuCTAieV1weRUt0l
SfRcVUOx5LeVXQ6tq/ZgUGGfjWl78IDUHERFZ3pZJ13F+DeR+7xT0iaLVW/WPEdmVj1c/c4GwGB5
Q3bZMvZ/LNwkfxw7HQuHDfpP0Ok9R9tdnaeBCjccX7NtgSruoSC1ZY8a3r8cs6i75h+djZraiAws
0GFDR/in5zXuesrIyeuZdm0Lu5e4Cvpxj8AZDFgPP2YTMHO+GVON8WM/BUC+6rBfEncebhICrreq
hx+csMmuU4kMmD2ojdboF9R9g/N5FUi04LGMPYJZc/ONmUmwmh15Jy3Ab5oNVnxSEjxoo90Q1r3W
WOICGYB2I2tUzrjuAvYWVy9eq7gY7glvtO8tp8hx4FXqEuxSd9CnzNhJwwxP/UqHE9eZ+4xhd9OF
M9FDNcsKGWeDqt8gBbPv+6uhz/CVoYTFJAcKjAAvJL7pSOxezODxphWpt9QFMPSwMMQPs5T+beGb
TFn99C5s4l5i4bI4pZBpmT0SodmfTVI0p5NqQtQ59XCSB659mrmJ3Lh2Gp061giLW5FOslFEQPsk
S0EK0VVXnmKt8C9qrS+vbKd3KlyhwUhknA3e15RwIHG3rQEDJ5dtHxZn9oAcMsTjt8gCWR4G2/Gu
ADgAF6t8yhWQnfQPVYF6R4Q3KfLtqsdjqgXj2VDbJD+4DjFEbBPLkaUKB6G7DmxWL39ex2RghFcY
IrU3d17hwF0by1R59KGUoD+PPitHBbGd3hfG9n2RZKUwV+28cqp5DXVVyDqTRhwVmiYkU03M6y0S
ovxumNdgJczhkPcFa24pqvEBnYO7EaAjT0glqK47zHMnk260jxbSyVUxwyMTTYkN/Bc2hnjeI5x5
tzBSgwFuMu8hFcpqbcdkmjR5RGVsQbpXzjpS9GlkYhuVczvqhXVRl6npr4Z5X4tUiIvMLYzE2ta6
SwJHV5abet4nWxVPq/h9B83LwP3Rl4yKidFqG8k+FZUnOHZhb5UNaWYF/vetH5KMuVLvW/qk4yQM
Rq0OV0xgug2SRmwWU81X5LxXDeNcQEBXeZvmksJ9Ly6Y3sXLvHUswp+oO+BMIi0NIfZlIeIEP3Vd
OH3tcJKlqLMRFQ57H8gxZpUs25aUPis6FPE+buGtLlo3BN3WeeYyH95t5WlCgA8JC3vZFM1ZHGTi
G+IW8xyFintNyI6foTIKsTyFynvlXC4uh7S3cMe33WVUj9EdWYTNDWEVHLQDEgD2TRBChMfOSdgK
HMYLzsY9DKkolOe2Jtsd7MTkjJqO9MieMQf6NCGsy2wsQwJayuy8gSKF57931I9BdQ9078s56XaE
DyB1a5P5+OZcspNvnYAPjkWWU6yGaAq7HLOwwHPrEWgm2WsyMbVLayoAx9iDeZPFaHYGMNbLyGHr
MrKouMUaMCfE6CrdYyCLmxV6ClTKYecSLWyUINO9IQYfQ1Tn2u56jxS0SP8xeFP7LIscLUZD0DHo
GF60Td9PCKpsO3BmtBuPcXQiRKsxT3yZDnZ0cOwSSINytYMHwnWXxQOcOKzsqF0i8KclJ/qrKND0
78bgXk5BM9yS4JMth0KbRYR+hMHcqAcemmtfhaNIHmNp00rXdUuSOpA1PwJcOI9li0tVd0wo5kXi
b/lPfugRsVzckYVxJ7dPROnx49ecJmUr16MrDVY1waDkpC4KTCuk8kD8uYz4GCQswyCwiRUrSrCG
8fSqC42oHHJXCzxhkQT+qMfFxkXgh2hZ6A9FnZiHjqbgmSWZPQeG0yL3SGL+MngfR4QJHyBHvetS
sK8VZ4DZ1XMAv/+W9d4PsENyywaWckDyi3zvKMvlbe/n5NK4Cq6RnY9bVh4Kaz/R7+eZGzb+7N4w
S/FgVgah5W1afustK/5GmIZ6TXjfV54W17uumR5zT7+XMAoBz8fYHZGYnAm7v4jBd1P0E6PSDhDp
EviIxGqleBHWGMM8mJleYeuYzc1y79oN+66fWAdPpnI3NQizDWWN3yON36k+meJk6LV2RQ6t/yxU
ZG4D2437JcpryvopRy7TD+20HELzpW1DBp1mpW1sYxSnpA5FJ9jEiHhuc624toEn3KJ7x12A7K15
7cgRjZcSU/wpenFWGxLO4xuYEHZNU425fAyIZuPEZonuTVqUxqXX8Saizlk5nrL5f+2ipzTqwDk5
pUKPnme8PzWfvUvn2EiXuGFmy0wXzJJxZ0youclx5CKx63CXK2da915ab0sfwI/wGVRVZJDvB1gq
W6TRDGmR3z9kVIIR44zRA++VjxsLcO5GGq3zGFaRsRUdfAafGWa7yNKRt1aNOrkCKLYJgC2wZKf1
d89vzyZHf8ubqFl3hm88NQxkL+h0sj2Wt4xIiO0WYVNfi0CN2baPiBiMJQZ1Gbr3WZNTVLfs7TDX
DTzPqt+6egVOKJTDVm/h8sFv1u+bgEbWwh9ZiivVKZakDuGdKcqr0vEzsWQr4fed5m5zS3tiurXL
FihvohOIznziVE+Yy2AR1jFegUs8izmyLxDOgsU24UG2YF/tldkoN996jqfdWGzVl9LI+zcz+eGD
s8v7EieKCKbQviDlAnQ1xCnmPPlZ5pIyxeR/pbDuOIs8jbc2JgNWEfTdFtjGVWa9jHaWxsC6QRAt
tBFMSI9KZFV2/mnTx9M5BeFJg8jd0tsHN3kspusxDJbCxO9c5SKm5xqcJ0mWb1wUWleO5Vff+X2x
eZG3cdFP0OnSMC8fmD/hSY1SuhBLjX126/FGf8c739/B/ZfffR1anh3bqKL12tyj+Y0P7AThqZ2C
XEJSPWdQpKTsIKUkBSnYNwpFv+dEDo7NFpF2XNrXI0rwRxr100JzgwwllAn1gPbv0skTK92RTm9N
7KfO8NCy5C3LvGB4TXcZ5ZRpobOKRvJmDcCvE4moN4TGllvC2qbtSFrgZnCKeGfO4XcRPeMVjvtx
3UXGsKOGxP1gFoywF0rq/qUFI3JvVu2wCVIyKBPEincqovLrBPEvymsB9ZrK2wUpaAG8zqNBXJ7e
brgHEp+DbFp3ZRM/VN1o0ekcAoKDo+w6yFlEyVaCdkU2EOgAO6y2hpHcwYctD4lZt9vELynIkhCR
nBNz5kc3cuspUu0QeRSHmDWD5KoxLddWVDhI5VKtt5dZnfAGYmNmwZ4UUfH2TD7hVgqiKPFXAaUD
eIf6Td4TOVUvNbTJz2WQy12YsEL4MoML09jws9so2+UC/Sr2ICA0bgKeOy5YzfoeFnaQWKuxTfwT
YfgQNY2cSWH4w6IxEyewFwr+RuifqMzHOZAMco3KDeSEi5jTgROYWtNIf9cCra68a87lS+ERipUI
4kJQ4vrZWZggS836zlnRJ5jWBJoTVigih7O5m6QnJMYgD899Y9+rwniZ2o4QJJCvbyG81oXdu9He
laO2rDTfgK3mI4jIyeF4EWmRfAeUqQCgJMK/NrXOO8sptC85q5DpF1ntXh9tOkuWXcv7WDO7JXRq
CN62zJaiTIsTnHQoLJySBCKgkjtdRunW7PCx5zKvdzXTvhJwig7vHhq86U2byYmNLW+YvGs4rl02
Gn4SLIZqHWX0PkIP7b4eSCKck5NCWPBXd6PL82xzD78yIWFV6F6Ta+vBjHZIjtZTc18laXpKzrxL
mpBm7f0+vgyk3be/GVaIXx2FLRO9A5pET+je0bimx9PmAyh2t8DtSOMyY/tZBR2wsooZsgfvlPOv
TIfgNrBzsvlUAjRxFRIrfIXvfPxhO1Op1qnJwH2M4slg4ka/kp6OBGvu6S1h2eFkagjF5g6nbpNU
xzCRBuEIBuEQWQW+L1BLgM/+p/fjBRJE+hT/vB9/2b4w2XtVavyoZ/z5136SzsQfc+PDpIthCUfy
tX7sxJvsZmT5GPPIe/6Tv/SM9h8O+LMZjGbZHvAI8Y9OvKH/MVPRUCPJPxloxr+iZ5w7Th/nZjYj
QxdRpEPAxjw+O5qmWgAl9bZsq7XmWt99irIae9YiwBxBv7zLF8n7Cu05p2Uunz88qV90w45HAMeX
nt+SD+N+IAX4ifW6WpM02C6CEMMT7qVdmfg/+grR+NdXE/Mn+fhJ56k67XUUpYj3TCGOXroYNBji
J2qkLqZqDiq/WYLOKGfrdLIZa3bfII63fNPVmsRhFxBoB1ij1DEf2e3DHJ+4MKfgnrLvcmycMyse
lrJNrUWjY1qsfPTi2BIhdMcnBivW+uu7RwH7t9tHgcEJFCWjJfhBHbUOhcpqx+4qc20lWAcQK9Co
KRqNdMrOHNca3Q+6viirp0QOl14bRzemb10AWQCbQmt5obfVQzJhB4pd/btm5qehNLeiSIBREg8Z
ZtEeJWq8GHr+W5H1Me6yaaLZzfQFsma1dMdqH1RCB/SpY3PyU+IutHQF/YOQ2SsIG0jio3Vnhdem
Fe+Csf9RM71M+hDFf7Ya/I5giyi5csLkuiQnwaxeRvhmGMwWjwCdp60z2vhxZeacFYpQlIUBNsBz
Wxhnoc0spJ7bL5j+VwNbrKkMuaWXF9zaiX6Va1CYUo8ry6pL4XYO41OcNQ6mqhggStioE8HIZQH2
WnfoS3tqheg9uhiVg1437aud7iTBhsPYsKKvD6EUds2p6wLYNr24vuzBHe2mrAZBAgXkUeqCBJA8
Ki5cC+9E65W040kafxwSHz5JH4ofpTV1rxwN9UNnnIAY6M97GKksxS4uHjBI8INsMR3gC0wsz9OS
XpexAW1fvkRR/BIFhb3vPddbCgFbm2Yq+NZSLYoxJFI7hTUTHirTu2PHEGS/w4SqR7UzAEssoZdH
uz7z41Wa1dWZ4TISbotbUFH5n8lGnyZ6H1vZggXo0+vk0vwweYXRYjvCdsSxJCIojKokdHndpil+
zoijP0nbVRPOWJKg3CLfkLdRJIbTKWy1x9AnGmJRuhUjnagqTl1H3lFgL6fOxyVNwMXrkLvjjUz0
dFsz6sEGV+vXIVbeb+zW7Zkz+Prb+zv1Xz0+/m8XziSZC6OM++eb2k1ECzz7uKH9/Cs/NzT3D0+4
jJXR34BddGeV0p+jZdf9Y9bno8FEvfT+739uZ8JF08+/8ODHGta8Df5jOxPOH0gFhI7g3NT/3AT/
hcHyUXgZKlhTclfMljlIIEe0jqYMvgz1vKe+3pldqB0o1ZMl1uYz0xflwRkgFId01Vbm3G2gzzHc
RX0SHKizvUWlN+HK8DigZ6Jzn+OwNlZ+UzrXIIeHfaGVDCgdXLgfnuwvNsF51/nPXenv9zsv+x82
QUtj8Bm5o7HzorTfjSYet5IQLGRu/kov6T2KytPPkJ36vxFDosT4zaWP9t/SNrNSlXLckSeN7xut
IWfUyt0wOSnWcasVq8lLYR4YjA4JJr0YOsUZoPIyiAUe+0hpgROZchLi5/F8MXs1HRVeIEhg0S55
erYcLlLpB0S4MloihZ0xoMr1XT1F12UXr1Ua3SWxbtHYg1uDNjZl/kvzeOTgWPXVZRFm9PubrEVI
AyA5qfGFJSkmwrQU2QGceXFmtaSZKNDo38O2b1aGVhanEdTt9ZhN1UaVDdH2sM9Cfc8itdWamKrY
CwHe9IZ+Z/bFsCcCAjwCTvaFDxt9Ezvtc6y8GoFPAce0jCx9G+ZavGF5m8fAFWOU0Cq2hYhh/PgX
7dhfVXGp9nW/6lPtwaxz76RJwWuNsfetngS8Iq88USMgSaIwxGk8BWdZBmS7DBCPuSM4FNgfW9kz
uu5c56nJugkuDeIk4cUHOAPaQnTjxUAA86bGHr5u0VIvNRrmhxLfI+JPn+DENDov/EluBqXvsGjf
prT16Qr5Kyxhqw4RttAI7o6rg234TOSlXgEfMQe8c8Abo0l024JMorXoS5qTwwxWoUe/5oNhHI5A
k1rK1h/7gORhO+jp9FtGM+4oGq761pMH3hoYbu2JP3oUSa7oiE8YbodO666GbGhWQ2bSorfbDQqp
cqfDaINI268Zgno4MPhOiDsPL7wWGTQpQukpyAnKnNhY167t793c1reQOvw9qBl3CaY6XFcFHhiU
dtbSawkf6AaoYODsUAAEaw3+wLILs/0klYSVAbsqavg1D5bUNvhm8GK6HtzKhGApwCQAQCPczHqX
/TCd/LaZQeTggbcV83cvdG913VvVNslSIuVZWj22URi9O1sSvJNU0lnmDnw6Botzli3HeM9f0FO3
dhbf5ixa2drWPRSzZKnk6M7RC+lKkqFDq1BzmV7FVDQVVZzjxtsq7a+RkugnGig3jttDv6L93y4K
2jEnI5zfm1ga2oqh+nbozZuksGANugMZCGOIzr6Nz22XaFzCw8UKhGyzbGIdCZgmtlqvthbd5LVp
B9eQ5iADZB4svGRfZe515KKgqMbhthkieI/MbZrwvKuMEg3GtOqdbj3U91NKDlhlzCFG7TWHUfdO
VEm0QWG0zvX2KYnQWdiBOsNyuxqz/LbW1FoM3qYKs2edZN5mQsmaOka3rAQRmoyfz6F2hVvQLnQ/
q6uo9w64ggBtBofYz8VZZldQP3xCAzYBhs0ZwV7UP7C2WDz3XL8Z6pEZUSqutVpHXR9hbyCwc3ju
qAAXeq5szJuD9J7CNOKf+Vj7YWJSwZTBZNDdMrXyqzLd0ILD/hPOwSIVWA5VRvleJKBcUGwHK0VA
xZXrCx+FCfbYWaK8SwHgHCTr4iox9buMImfJ6tefjDqREMpzWSwajt+S6cK2D416hx8CZlWfO/qp
4Qz63qtadV35WXvZtygQogKFCc0G/sMYWCzs+JC2EyhMu/IvCE04KCHHtWUnt2MeN4fEn2dfiXnf
wntZqxKmI71dA10Jxw7U5epcIPJZ6q4frhozpVMEVpn+EeX8DCbZB2TTLWINGYUWRIA3dFgmXlFb
D1muEXQysd7F5jKbXDJWe0YzwrHJqO2R52tG8eYEcyBa1GwtG4Gf1iXJrvai71JT5tqM/CumPXik
YbFu6PGTtdbNDGAtNvZZGefnk/qdR0d+LkTfd1BMp+z7uJok4umjcx0xefRT6snY8QY7JH5B4eFg
BhrSnaeVjNe1VVQZgKumstkluVadA8YbmDp5wBhjvzrx+obiui4eyCNRV5xYQBeHahYyG3l+bpFs
v0sMPVrFHfRZ4j/ynRiGGobpyMKQ6wdV0a9yygDEroPEkkMCYYjZFfehrYMmffq6YJjr6qOC4dPH
PToHokBLObVZBiKX2r+u1SCX4+jCzXVxSX99qc8H9J9P1pkTI/kf5lzzn3+oTYyejiFJiQbKKecN
y3BFQrz5KGkQrJRVPnx9sSNtzN+vNps3PlxNi5CSDai/dkxq0exY8ptE5bKP++DFiFS1rOykuWxD
IlvdRky7RoNXK5LSoscbNGde3O5ivkmYnM02tathE9dtM3vi5TIYOIFGEV8hfn2YY01srcSIXoH0
ghxkFc7yFAj0SsAtXdRSOx3mjbqat2yTvfvrz/mr7w8Bu2U40qDd4hwZKgzNxLKc1MYOxAW27sxm
NDkt2ii0fnMh47Mo/M8H+vFKR6UwvrU81IEX7TqCyHem770aU90tUp2mNSSyH7YgZnlAoUmMBZVC
iTRp9fVn/ey3eb8DKn7D5oTouvyG5lf3w1eaZIgGNPaRnV1ZwTKxiWDIJK77jFiTy6jTADO2FRkw
X1/1Vx/802WPamoBVFCBSJY7zbRYBpT14iTM6ntF1zxSunbIx+Ec8IG6hO1SrJ2+SX7zwX95C3zJ
2KENF6PycYcX8sYAvjdCAxNB1KjZEpnZYcC3fSDWlrZIS/vCcuGtMWJ5ZNWvNl8/g1+8ut7H6x+t
Em3vASXNA3PXpO2jrKPhvIF6d8gqm5dYC37TDJhPCkdrEp9Uh7WiGwKT6dESHPaRpprC1XeWrElN
7EHORgAD119/pl+8OZ+ucvSZaqnLLqV5vcuawVgQNWssaqI+mwzT7r9+pfmj6IJsx9ky+/l3a5Re
m0+TTey93/dgaIxvsGv3M2rg6+v88mfy8UJHax7nj7ahk2bydpbOa9Q3F7FwzK3XugzQYPTdJAHx
CotgLo+ruVAWZVP+xr33iyOzqc/CRHKShedxdv/8af1w6Csn8uWOeVi5m3rV3ZYItvdRNMhdKYe7
ovSSVdAFRCV0I+Ub8bJLp0oxzGXaEzjnhFQvbQYe1oRCJkH2zSZ74tKIxH2sYGh//czk339spm54
FqQtfb5j6+hnAKYp8TMomjv6bkRQMtswQphqxZTqS1ubzgbPHtZlq+/aOhxoYEbImUmS2ERDQvlu
5em6y9g6FHkGlKn+Oi4MrEScaWoNxg+HiLey7IO9XmWUcNI8wacOQzJj7NSNLvNQjTF5ORXUVrDM
F136igHIWIx9leEa78zTuq6v3z/y/zaqbsfy9f/8+9NLBvw7qjFDPTcfu05wOyXNpA+/j9VT8/Rv
r7MSYTx/yvi724Ly6c9/sX8hEvyvv/HTBGEyesEWZDAtwS/2bnX4aYKQfxAnTp4n1oOfXad/jF4I
CIcSQLcd74Qj7TnE/KcJwiC0xsXx9pdzwnX/ldHL5zUaESw3RrOM3cGymUwcC2KFw3zFSvt+HQcB
oP6eiTS0I7E0DGgrGoKlw4cn84tW0+f186/rcUHEDzrP4+jFSQMJnjYFWzWZNbxTM3jrphKeWE8P
/usrUXd/2hHer8X2RV/vXe9r6Uc7Qmsz70JH36+FodOByywgVKwbxj4GzHOW+EF31k4yBqHfADon
kuvFTondq/MhISjZhB6E2sU46CPndQ62tZlgIw/UNxMpPZuLa1vnaL+MQ6uL+gexMpYPIZ7kNnIL
XORWMDgHB4188YrtgsOSmxi3mauabiMdDgMnjan0yygVdbCsowksUOyYr40dkqLr9nG3hLvRvrVk
hL8GNh7HJKdVU/jpdOlVzP5oV43BtoJOvESH2F3F9qSdVLqndzuiLWBaJqHHrbSO739jCSP7RdB1
ZPUkfBv4nzs6JmpmeMcEoqgCZU4M5671eo6ttalEsSANU71lHNEOTm3vnYDfg9G1MHec/DQf7ds5
65zkHTyYgIZhhkbCyi+HIaVwFUAYfWDrDNcftIyROkvoVQyEcJtbzinePDDTHpLQqqSklp4Ga5WS
eqm3sH58HW1T+v/YO7PetpE233+V+QJ8wZ0s4OAAI0qibMuK7TiJOzdEnMRcivtOfvrzK6VfdKz0
iafnYq7mooE0bIsUWfXUs/wXQ+Q49Lo+0pwSO1hDm+W1tnRPKUMlCH62pDkHII1ah+xx9EgsMhgV
QO+TRGKQZMw9XiliR19/CSXYHKNVwrPaA1JAW7LijgnMnIQ0i22GFOLKbOgIyNri8m2bbXSDOipL
BU2xjH8kywbFherQ5b0I0MosMdTt9K1rc3HTLZht+To9KKNDQbVl65Txl9iUt0UZIzzoxs9TxFLH
mNjf2qUW0iK4r2S79dUTxRtFbCM7ed8bWQywwPzmDNHRkB6a2Rn8QADbek2jJIVwG5idhTMD/hVV
YXzL3GLPoKLBerIPLT170ZFExnS0fXL4nzHyT0znXqRIj/jqXse1RAJzVGdF0ryPWzekcsP6ZLxJ
IhkibnVMcvxVGcSy7hhGrtgFNU18zHBu1beZHXXvmt45pVr1VI4Zyi8W1as15TgJoIsHgWOL2hlg
b+wQNu3s410UixI8yiR2iE1ireIjupQKAHF47pxMgEknK5qfk6j7NMemu3PMCX9LS6aBG2mPkRUf
8eJB6B9lezq7mE6gY4q7pxLTduMbjKOr0G3NJ6kLvkDkI+3A5fIpfY4cO0TFpd/kzJyRmMJotq6w
hdC5tDuZGjr5/QjKypkCXiyC1gvobQTFNhqq9Bu6IQBsEJJ/7DWqFBSlHyedb1p6xXEseQ+2Xj8j
wlv9yMH+93B983A1DKjbPwX2Xw7X/yy/fSm+lP/xpfz2H6f0a/WMr9tVl/O/3etD989P+nHoCutf
yARwwHCkISKk/6XfJEBCoBOBGI9gYqgczv7CO3Aee5hqotxk2x5GERxefx66ICHAygCC8Bh86/zG
P8I7GK9rUnSLdUA33BnkVEGlwqe9qkm7runcKp3bMJkQfcuc4rnEQ2IH+RHNvqit4Q7mLyTdaEcK
+YwAJ+VxpSE7D8p8SStrM/hlhz785EADST+OFdv2p4f8N+f0RVVwvkXkrXSVFvBEyDde3yI9fzIH
Gbdgb9EW0UC57ki5Lfq64jg2zRdEEE9uN2y72GTnumyv/9YNIPdg8qg8GNWvb8CkWvYnG/PwKOYG
rHUeA0RdAHymEcqFiLYNEVS1QdBfwV9qkxncx+9v4SJXUW8JjytyIhu0Bh6BF7lKZ6dmmxd5E7ZD
rIRdvcchIQY2b42xL4ZgP561y6yQabYH2uZS4cddo65flqoJywqach/3OEr1NTSqQuzxWk2DxY0q
ek+MBcdpQt8+0hGum817h6HhEXi8trM0K/rSZc60wwpOf0CLeQzUvsBhbW6vhrJawha54p1WE87Q
B/Ro5dbo+2N/s6NtSNY3mHeNhu5SEvEgl8b9A8GeK73tOLXSJrqOS047GrsLk/E1uV2iDxhdsFoL
1JEQFd8j3zif5k6+GNYqd92YP+NG5W/zNjqtvvjOKOTBWr1Pv39DKoP7q+ZXD44tofvwuBi00h1U
b/Cn3o63lnoepw3gTyvyARIuf2QRahA23J7INNMAb22x8ZpRvNHZMNXqf31h27HI5kEIQEMmjLy+
cFELr+5osoc+Rns7n1nbleev/YHE0oTY1HWwidcxIB1wboqFDY0obh14Pp4nAkzvLk/i/eCTrzge
e+qsbygiJotVMy1hngELUrNvSZukNH+cNf9l0AQPDbSG70F7QN/OBfz3+t71Qdjj4iU5wF6z3OIR
49ygdEjWNIoHBj2ojcITCIFMFidSD/yJAWIynx7QzuaAdK9+BCB73lfO0YVnsfE7Tk2Bu+/WW/g2
KMGnAbOwr//0XaOaBqufwb3JhP1S/KQ3U03HQiwPJ61Fx8kmKCBjIn886NbF+bkZyM80Ozf/UWdJ
rTKubFPE6YiW6c6lTNxgFhETxjYPI+i1waj80UXad2/0e163FH5cRYmYkIzz5Qg4r19LmdeFBS8j
D7FrK0OvbSTew8nzGw/RviiKzl8GpTuI9Z5BS9C8ePtV0Xoegg85w+P8JfIi0LJuR/IETLhDN5pN
LrSJs2VUJu7GSp/UyV+M2F7vscbZOSXmyBFu24Fhj6iL0kbcJfiMHHLU8vcSd5mA3iYqmaX/qLna
ske072TOS3uFUzmqTzPp+4gK+x6YaL9DDxQ1z8oJ9Zn45hizGaAWre2qlF/rEsc4Ut2hYjjk+haG
AJGo8VFlXakVzZV/NQiDH86FK0xpsS/hVmN/VdsIr3YfZ4QLaVUxdYr67LlY02cns+6Leo2ucQjF
H4r0uDUH0vohEQgclgdtFnowwEPc51X60sbklUNFzGW+Sjk1ChacwfouY6Sxxzp/dkfWoC3jD6A5
gHrn4hEtRVZgj/6xZ92XqdAOU4JMKSTAJ3SrRQDJUDApkd2neib/tjUoC/NcmoG0uVguMvuLgcE7
UzSPMSXpbBfP/tZqGjOIIZNBsXU+l62ZBfFQoDNDe3mTpSsH8epqiNdnL0bClx7j3t8WBfcb9/0D
ej7fUcjFSYGhdjwBGx99Ajeszm4nOUC2+DAAx261J09ZH9oR3D6RWD5INySkB7tLYNRTukknfQbf
gf1g4yI93HEC5wtDwMIujk5ev88M8dggms82bPutjHw4j3RKOFhGO8gtXk3ZtQ9uCtm4qId3JBhh
5JXPGCWBWxiQo9I8dFDETBuiWAiWbZO5gZ8r96f8pRSQDd1mvGn6EXVY+UIVJkKGrzDQbL5oNxUO
pfZtZLEC/XL0twAxTzKCyWw0nAHSomQ0B6B7Uc06r9SRuVTkV9LgUssoX6iFWbG82cWLXxwDJVqK
K+fjKMEjQtsECWEDn0fq6gWXDBYBLJ0Nwon+Vkuq4+xR4SUUW0G+Fs9WVeTvBjo4gTtq/nvGw/s1
S55dS68OyaK3N27kPep9znckPT26GVX1+cWQGZw6t+13GIIjgqjW7jKxbHQckzZdBL+/TtJnPyJn
dGLr3vJzEfZL/uzrQOQlK9xgILU5L9x25b6jct4jmIzhU+Ei5+A/ogqxAD7S5Y8tULDCDMO6pyvW
4VBC8gm4Yb0tZ17WkKpsQ1G/qqJGkiFhBVkGr79DEYOxdAWcwxyT46QzYcQ/NA1qn0Vb9enz+ca5
XbIYWtj7DE2xkJ4vCEhn6D7RYxB7YInE65rJfO4l9W0lRLNLMUIKvEXI3dp4V4YLuxBug7ZJe1Ts
snk8VhMamRkE+v2Muj8IqfxF61TA8mgRrHwPli46VeoFF7pzb+bNU1Wzr9w5e2nQomfUnj2fwwUm
Qi89xLMN1pMCnlnMBTpK115V+LW7IARu9JTzEw+RYoB8aCWfIkv2oMsbBwZe2TGHbL0FmexD0TTk
zl3rJ8esjufTSSDajSsdTwAt0OjadLMXGC/RHcoZe+SJ8DZzkcNru7LeO7O5JZ5+K3OCiWWyckuS
rg0z8g9dxz62NT53JNZKt+KBzE7YevlzT36lwtmCzg1cZfd0DkqDQ3iBJPVEA4qDcXBPZsXYvMmd
e+qdMkwNtgrctOcF5mPgW7Q68pGXe64mMKiAUQLBb6eOHbfyTudvOC3yRW2JJnXu1VHgueZ9X3Nj
53dQm+KUomsK1CEC/DEd/Thz6ICoZYN/H/aziA9WRvukZ7ZxdFo6EnWcM7ZmqbTY9v2IdD5cvsAB
5lItDhGVThbaY2J61/lLjzUB+zdjZzLBX/kr39YOOT6U1716OxgXpAGwz+Ma483oZOzDuV7n63Mk
hpZEIubGOESm9CQ44+kbrT5Q1BrZQ/7C5U78ed+pjgXKFzOrfqj3aTUgNSEL4EwC2WrfQdCaURba
1DpP7HyuWJKbwu+dreo6dJei3ZLIBbNoQMNy4UGqFTavBGOE8+5Rrar348qrmioWXSsIPAzfWKaq
l+IjPh1agoRCvd0ua59g6VkbLyHqUwWVYRPzgc1IVXCOv7mKjlGT0E2ThrXRRIW0UYaHjDrjgC2j
0ZCwqp2BDeSt8ojfM/KODeEmq5Vct0qHIQ7lu2Fq5a0W5csHPWmAc0Peg05HcqXP8vm8Vsq+eM78
5KVc58dIzzDxc1paSCOPWp02kSAuyp4tELW9vJ0xWN66movCpzI6tnsUthz8GTZDXTZ7b1wR1XdR
4D6LgQOkID93cEdsmuSQ1xUH3tI3J6Jkg1tO0l/ZEz2jDs77ZrYSzOggmOMmNmGaUQkk8BpERKtu
WqZNlDgAzuo1VgIv9Bah/Kf70YCr1/sp2sge+uspllCYQz1FqN/vZyqrr5qQ63vMhesbvZTzNq77
95ijxCF1TorhlWE8AUoAklgsJRkx/kHJYES4f6w6dLBm76yUSYj2qtSgHpGBdxLvzhggYE3rYgb2
BGZOLk11Bdc9xZSIPLlZ25OFq8fes2fayiJ+HrQcbQHP7ALmSVZgTmu3xz59vcFHCrBaSbBXZV7l
1XKbGECXON67vQO++yC0ojmlmGQB3cpSFMRzWp44/wXdQDt3zmObHAWgMzbbnLwLT2w02+/ZSsLW
j069MZoyP+gR4ESGfVe9aJ5yUXgbgdjDZoRvdDtaGPtg9Q3708AhGNmhiMtDbMOXPlLgdT57VabM
hjHs28G5pnf+Oc7jCQZumxyKxo+2E67cAMjdr8z1mTAsXwfY2CB4QDwkGn6UeKZK1CZ7JMdM3D8y
WaZ0ZnU6bwjE69RwkIXN1DpAq4IG28EuG2N7S/J8p4GpZd5LmggdL17oXcIj/Aom6haU2U2KNh+L
cPpg6NM1NHwfSSFUCYXQvtcuW9pDdh9cmIFBxKB9QeLHZz0Z1lW/2vexzEyEs/UjVCYsxtGw3+jZ
0G3b1NAOTZro224u2LWq8lklswt9JSylQ/pizJXYJ7De0HYj0lRlsnywehuJAoQIginnBMKJK3qZ
Mq0KTMPPP5bNYN/YKxJAih2hGR3aB7Q4ChyLvsZY9xDeUFTEkaMPZUUSnMzNup8kGZNODScBUJkE
LhXHEUs5qi4wTsfAjwyn32ljJcKhbvkrVdEDACUcWGxTvyaRwVHh3pp9PIXKFFRgwbqt1BKlYA7t
aXoW4+CHshzvYeNpu0gU7UYrR4ImR4G6T9XyNug+hB0aOxgJ87eCNHswkmfpVE+6HMiRHf2+W+cM
dorHCkUA4/o8Vkp1D7a0F9+V+XSsF+MzBWSz10envel0s/0waPKPjDMthj7RmIu4hgeIJfuUydsM
wtgO1qCPTldPdq3C6doX660cOPFGv68xr/UfaTk/10txJMGY71ZvbskCrdu6Ja/RDHE0AG1SN2JF
2itvDIwQ3gsTSUCT6Vdv5nzXtHVP9pQld3pr1H+kOs++JE3eqc58brPC6pzVMGh+RYLFMy1yhemx
Pf9jZZUtbujp9Fg0Gh5kLcvNVM0r7NSCSUocrFUvPOrIc2STzCcNy8xh4woVpBXlZRxrcu8OHxs4
gQwY1rEOS3ieTdVWhzw2Qgio3ZUhmExoyUvMad+2nENd6Zxii/s8n+j9TBGm0p1GrdWYZXKKbOC8
MTkBxTWmqDAodxo3vLHVmVkiZ1VsVNWyzjSIcGiSuH+2T1XB0TNOw/QurtlS4C542WVfhoCpo+uF
zuRG6PkMX7yXD80wpnTasW+NGf7MHg4YORX97nzKgc0oj+nIiAXko7+NfWEc45rL5CZreMZR9zNO
NMm3NsXAka4FcwiBDLJAriEYNFaTWFA1zKeOT2mLF33V9eciwoIh59Q7r37qzV3vZek1xeoLTQi+
Ve4++DNOPgh2Y9VBqRdxcmW19l01qhx7bQ54VIy3TsMbWaQ6A9VQZqjghHTkUASFuL5vBcoadi9q
TGm0LDB1HIFTwhjNSLkrPNMNpNNfa8OaEnHrG/yg1p3dcPkl98lXbRKsVDPf5e2IMrTN5FBDiGcL
AFzsWe0ccYhXBWNp35/PXjGzTxM7evx94e/8XXuBHqMJosRDqVpZJPzcKhuz0RvjbJEhDhkU4hYN
W6fvn5qapmCmF1BZNYMZ28Bb7td83SdmMRBq6o9O88lv6kfdTw32MIWuSjMGT9d2ruc9yjG+0815
DSBNaQfQycM2mZBbqafxzi20bmv6PQlwH384NzLPNRLz8G9pXyQv6M2NaPm69wbmtdsJZ25sPTBz
deu5OM4aMl/OqJJSjxqoZ2hKvYTwESxuci8lMHkuwgb4dg+D/y1DgOSm7BoR2LHKAhM1H6Tm3Tqx
H11Jw5j/eYuciQDgOZgk6FtDhXz9SDP8qAqsymQYdZQcvjdF1x3z2oNrknQB2f2YngMvfXxGtGw3
YyJp/P1r/bUBin4XwwxcXPC/oZ/7+hZgGjZOasohzLzOZsK5JoeuJU9K3AaJdQ3jkcQddYaWqfVG
u8ow+eiLFijlO7gyJIltk17S60uzs+GvSTGEPsYoG4egvs3wUH9IJ7fY2mtdfx5AtiKRtwKaVqaz
YzG+F7UZ4utlPP3+Mfw6T4EFBrPSs3zPY3lf9IEHc8BjsJpkaKsgoBoGds+WRoC4353thWOi6+8v
qb7e5dcHZwZB1qP9/IPY8lPr2SqhXLY0pcIusvxd3mDm1sT8y8irx7lrIeMn2oTiQ5tDbRmLw++v
/je7mTkBDVoQSOdR1uuHX/BQrZ4xZ9j4JGOShk5QUlC8scL/5rHSZTYd1/Hpe/4ypuI0NWE5Kd1n
I7WDYQWi2GbzZwbxp07kfyx9nr5xRePvvhh2KyxcWMd099Wq++mxNiUy9DPqymGcZt0NOGexTwFK
XBESaOVM/mPC8bmBEEtvj9F6MedLOM7oAMwxfPp8TL+t/1B9XHVM1RwRpIwCUf6yuHB8aFOh1+wx
mX2uamf5/iP5lRk5Xj43p9+/2rPC+OuV5QBiRMIetppQg8jXj2AwEQiKStmFmLydWmi4W0wJyx1K
YynKwBzAxuh+AYPyodZRwtA9FCtQ1R3T6XYw5bfen/CVd3CY+v1tXVoc8BgcB8oJgCUlluqeRyI/
vRnEe+ol9uIuLHBwwqqd5NltCDWDDitiQJJpqJojYn/dJ6tXwlkVr0hLUFVRoAGjnWlMkccBOjVN
CMo4JXqudZoMYO99ln11u4PTwxNZbVKQ3sOexLqHe/SClTY+m/GQwS6OdwnOzYEHizXoS2ZLauoo
cVPdmDp+fEp5FUaHqq113dzkUQkYLtIKHg2tLDW2Ox9s2aq3V79/Npe8aJ6NmiTDQ7SAbIFRvxiW
CmOcsU7Q6xBZuhmAehMHXh8Dc54K+mJegypHYqW0DhBz7cdRP39NWquBnTdIifoerdqIk27NWnld
64O2c8CC7EaVN69KJaQr4vWWlgQ6DD6dUJx+3opnZ4Tl62XngZZCXdyC7K8jY32x7MaeON+SbJKU
drhl+9qWnhr2ZV77NJggHDG9PqJ83e6MDKEo+M77doIb+PtH+evMFYKmYHmZTO7RrLp4ksDQrRpT
9gbVTuSKJh6MQr2k5ei+caFL/Qv1zjwGvAL8O8BT7zLSMAWJGjOX6KKUdAUz8h5jkeu+8fryJV/B
93geXalUdZexmas2JRD9jTmIJYAjEG+nOnlG9f85nZg3eQX1nqQEPINwKlUzlhTv9LePEK5onOa0
4ZBlehO7++scki8hGIA6OE8BZ7uYQ5ZUrqaxJnWYdIWBy6mdbtpyrpGKIeuE9tbsrGn4puqlM3hm
aJKXpfDfiFgXGMLzkwTc6Ds46ti/HhO5OXRebRh1qNvVd0ssTcBjoIOcA4aalreuZv46wfIUbUEw
97VghVzql1qV0ftAGmvmlyify7patmosuWKgHAgjdmjgklDDfuKI8O34XbFWT9VcyVvE8+gK6LhY
+8Zym2MEchgpvDcSt9SNXVDZI8w83mbW9Iaj1a/nKHeMYAIJsUtEvwQStM7sFR06w6GnLYCEO+wm
NTwhYVFSP9HKBkGm528MLf8m4edqrAjYSACUYVC83s85qcNUNWYVRhmNzaaybArxGe5nZc+wJnv6
qTFqYIYcrjraUzfColGpeob027UdokL6Ni1pIUQMira9HDsaoZZxTWvF2DdkszXyeWSXlN2W0z+h
tEg3XfVESoPCyWT8vO89Fc1Sh36tGr/Y5pDeSyqqoMBN+IA4EUppWLUFwL4/5ICuNgZavpvacPFq
ZOiwTzyVzEeTCB01oQToeX9WhjjPNqocOiczt6+qEnbTnsvNOhOK6LOFX3BQ1xh5Ap8v/zthA8EB
ADzMhBHxuEg1ax8PjNYmbMRLn9zBLqEpQPmyNx0bKVH6mJyBFLngG59pm9PNdnjR5YRN4IR+6K50
2+naW+gRnWN9YU6MRpcUcqzd1c62780/zqNNuzbQ4GFae10w7j7hbv3WvPnXBBZsLNkFaCY4BigG
vl4fbWwzgm29Liw9DuNhhlBVeGpL2Ml4E7eiCIS/Fn/YfuRtwYLKN87MSyleogaKMp5jgXkBaIOe
++vrC8SAxDSXOI7mTNEqs53vDEm/38/phFuNsD+iQo2qsJXIqwFC6lbanJCzRh8bP2vqRlk220HH
eTdeWaacXUyUPAZACKt91o3hWi7VkwYtMDjPH2htGBp9vmjOdkmUAJOs1TTAocme0ZQM9UL1+GbV
zl3r9L5tJvujnjuoHYpjOypnUsyRUZcmqhSxeOE/hh65pn8Hx5yHpQ/ARnqMG39/HP5NZoGrBvwd
pdTMqeyqfPmnrGtkVldmU1KFDUOK84CgsNVI2GAiVKdsw7XPEV2U6xXG7pj7InQZROlHhgf11XkM
s+qAausWSUNO6/tcxbfGfbQzAMEIC/xRMtHfxqhiAXEtlvD3d/9r3PNNl4yCfa9Tpl6WiEOPcTwo
2CrUfDs0IuaLKlTIhXbkuRuVR8UbUe+X5BlzReKARVGGZBoH+8WqgugaoWFLJUhru94sda/4IhzH
51lMd369A0OhkfgCkgPQyKDGgGOvdM4hwuzappU7BzALxrXEnN8/j8uD8nxzWIOgzsIJ6Dnq5z+9
THfxs0yTpQzTpAHA3XIPaKAyBWBclqun8o8vp7Y4SCXLoJj45diBlwgpuZLh5KhVC4Z10Uio7I61
Q+34VgZ5lmn6OYP0iHFEFBCdANmwVLhYq0k7Mm1s0yRMksQ5ClQniYWtt51tsWfUJJLNJMlIUoWL
RojKOaTOFB0MQytPdmV7nya7EHcZdpSuNbzrYJHvGrd3N/aEBPbEHt3SXelucr9GX3FaXPQByxRl
NgSko7Fgurn25b5L+fB0bF01u75PaYejgouwTZV1zVarTGyy0Is/UMPYSaBVOB/asYPjipWMV3M0
7elINrs2buywgLV4DZZDY6Ii33WY7wSUbVYI0Z5nCKAcZrSWbaNMxu9K6uT9itSAEo/0t0PCDxJT
ezYU2s6YmuF+IVHbFzmiOF5CpRYpeQBJRkdHsKWtjr8vg19ZWNcAVB1wYFJkW7doyn1Z2+n1kLXj
BNIC+3n4sFZoeY2PWAf3oNVRTH/3PRbz7+IkNRESHrobHw4S7Z/V+AwJzwp7bIPe2GjWZaIOm5Ik
DB0N6kJgeLBQXq1lofgSWs4pD4LCV3LcTK9zUCNlpzPZJpfCQkF/VzdNiUvXZKNzviDtUKsXWEl7
Cw/CZX4xkNd7rYc+Z558zc0MYWygh9AsJpeW0mjvFg3yNw6ODMLLttwzRLAD1ZXY+9aqPS7VZB+F
+vis6t/1ifnoeKBNptkFSeIMSBO2BUzprPPfaDhdtimA/bGh2MHkMQQa/WKpEzkNx2qkv0/aNWwh
CNAiemP3XgbP8yU8EIYOuv+4oV48YKowh0ZA7AMYyOpthYBlMLb4g8p6BQzSY7KzaNpbVdFlUsBF
iZ04stBhV2HjIkLFmo+yZ4IafFN5zY7hF87Fq94wdoM/4FuM9DTL6a4q5PwDu5fdG20t4zK3RwFO
JciY2tJZRSRN3d9PEXJpihwLr8rbD26tMZfPOt62hfh2pi4YOeKqRpc+JNo90naQYW6744ffR80z
Au5VGFP3QIscbSGcpIUCiP98D2yb1jNbzd1jwICZ5dJ0h8K2WgpxvVs37ZgK3L307susr9GJB2mf
qhnUadmb/ntNeus2GT3otpOd7QcEDJ70zuRRNh3ZXVLvC2j9DxOSi8iZeHydPvGOTWO7SvG9+Yg2
bAzHoUSCdBL9neXFNSIBWv5G8uWYfIdX35EElpYpvDLUCvAqvkj+FpRq7YYjdD+wq46ThQuXXsdG
IMZqvD5/CQHL/U6fYu/YJfyAwWMUiFVft4hAZ8FKCra16EUEVhLFB4EpAJL6mca+1jskLnCrB4tx
0Ea4xoOPmEwaW/dIgFq7uk3H63XF3SRv3BYEwIq42+yNTLURjnBwv1JOjpjN9ysIn0rN2EttX9R4
3bZKNQZRl71sm+4085f72h2BWCTxw6KhJOlGU363rPXHtc0sgtBw7Uzwo1asUTZxk4y3iIz2T1pV
fvv9krk0EvJRjTJowoOp9GgF42j0esnUQkTpSt20j2VL72TQ2gBZ12MaT+8xcYiQgrCxhu0Ne5O6
C2QWOl5B5tT+QaIPsdFSuleS+TKqIGyzrByTGzRk9C8NJBjGy2K94VPc44iaLBNhuzzQSBqg2CRu
KPXx64rq8w1Vnh7oPZA9p+/sfWPiWVO0ZhtobvVxwMRgP87aY0FDeivX9q3M5tLVkidgUHOzY/En
ZAMbFwsqgyyJIVLu7I2RwxsDH+uzOWNSw6HFEugGROCGyu/Dfpq1vaUVCMisTXJjZL2P4FRab7Mk
UvrQVfEhjRW8I2XbSaRS5MZ3Mm1vTjUL0421bQs4bqu3rBGcmrPASP0sGHTf2C2YXc9LgvCoab+f
RuvJ1jC1X4T3PkrSb9Q6CKoyn7opes07xIA2bhHQ8+968sldkiNQLsaccrxM6m0xzX3o0hsIbUZ+
ewaTLPSRS84it3a/Xzy/JIWqljQ8m6Y3ceeXpHCZ04QZJWsHXvkLbAP/Tu2VFk5VMBlQFH9/Ne+X
kwuFTccCoUYnF2rpJZi5GOhV6UNPhAVOtcV2VjwBLEtu6rU0AlTQ5z3CyNkpcfvkxsRdaMN0uWF0
xUOfx4YM3p+igGnip1FExyl2byOkofcGKJ/ZxZMyq7bNwr4eMyCv/G5QkxNuNcG6bDOOD3NiN5O2
v1Rds96bFWA+o0Go0Kiq7gBVzGByOJfHrNNRZY+teJ8Aif8wjXn7wMA/2hpmMt7XqH8HtglOQ9oG
LS53bXYxhK1bwFziionsfQ8/5iDkQuRY8cwq3NI7trArbiedsNzVUu47dTtMTHOViI8fnIW11Y0c
MxpeAEXgmF62rzDu+tKg6nsy9UpHNLrUP1sRjiaAmBlnJ0ml7UVb0HbGh3Df8CA3iWe4u4ReEBko
G2J9Iyv4m9XCIqEXo/Do6pR8HWk6181lEYOK9SEqEkN4fi0aaMFa2dXWc9gQv18vv16PqSKIdFIs
CnXnskp3ZQkyeK2cfV4UJCA1uwHYnLgCc+QfktVp3tgNxq+JJWXbWbOCgpdhnrhIQXzgbY0Zx/Ye
HJO1SxeQoQY8nWNaMIgqVz25mYWd7uLOxTV8aA9tR7hwEcHaVQWb35vQgrcnLwpmKmeUuTio9JFX
jUFpCyjB6MO64aukbtU+FB3h2inV4e5ELSdPmt85ZfVlUWEkLiH0YmrEpxv5F/CLzQ7xVsJ7leLR
RG/yEbWJ7mp1/dt8TOSeKcNLg6DKdp2cF2xv8GPn3jW9n/eLH6039LXMnTHMNFaq9hH9OSKVRuQ/
H621JNVq4YQ+gSizdqIAcI9HkQVGhN0kML4JE5bgTZXk+s3U2z2OPOo0LSRg8Jq8ROLlFgzFgJin
2quLSfxoi2F5LlfimxxZ52vDEpdti7HYRM6O/mK97WTdfExTiShZyZmZt9xQ7UG2pOOCCZCGsce6
IGTz46c56x1JCIyrPI1qvgIZsh3MqQlmoAWbRZ26WWJ2V3YqPTYL4SI1JvKBfl55iHN3lfS6f2s0
DPCHnP8VfewfcEIZbsuEX0H8VtuWkUBApwL8Dea7D9u4a0+pAYqo7KOKc4GvqTlGdkI6fEX83uh2
A5LSIRwleLwFllMix60vX90P7uJ9LcDrBjK3zSt253iEU2PtiGCsYmfxw7HJSVlS0ujzdhcujw+k
KVfQOAVqQaaTFDz/RFg9RTuv47y7/sd4n+pCXytGIWkMrPf//p8/L6xIlK/+Z3dWK7gfvrfLw/du
yPt/q1uq3/yv/vBPiYM3KJ0GegJKs+CnMPMLp/OxTeuh/fIzf/OvP/uTwGn+C2lpVwWfM8bgL31P
YfyLaojuAttFGRSryvPfCp/2vxzHdYkeVGU+0l/86E8Cp2miF4qnCD1qH51PnXLq38/g7kdizOP7
/3KoSGguEmhFIYWbSIrsMh9HsOR1HK5LqWkIZQ6IptgYwMleWWf7h2LEwh2U9ROFRbwZ5yRHGBdg
8Fr132fT/ETz4QkVD/0hakg4nGb61i8YI0jyuV0/u8NW0wyNOWFTvkf1ubtRmJ1N5ePWurLS2cHZ
PYURXQCg94dSgd/juD4BD6UkTBclru48VaJu9i4O55Wtfy9qRFAW+gZ57IARgGECaFH7ZsfWCasZ
E0NdrfnMGRvT3xznAzREl4TLirhqPH5Ou/xA9D8SFcZk008ARAs3vosRKN7CRdF2OiIE2NFm5RH0
v3XTQ/K/rrXaPSZlRKup9uxCtUmXj9h1Peqp/DLReZVwHxAywQ7uViMv2uGKg/oBsTxIhgUmp2kP
D1BAQmzP7GNN3EAKzxn2a7RUyDQITW4aHDMh9g0L4m6ZYwwvxiBO3RK7O6O1vHtVsQf4PcET7WS4
gCGm39WUt16GV5c24/poEQoPLs2p66Qz6y3ZJPJ52GlcSfB+15AK3WeMEj63s0hANq2NwjN1AUYG
/Ku06ufBFdptBLTmSkz45KQYcGzX3LFvV9kOe6eovmdGP4UaeqTvWj2j/4Vxy2bIDBNDgAr7N+b/
O5kAn51E0143xWw++N36ra6Bs1d0yd5N+SCfrGp5wsE+ATiId1InMrgznX60Gzkgd2MnxGZNwuvP
X9LSlwevEp9FDyTYHfl1OsNLsp8MD0eVQr+uPPAh/Bao37pNblIvf0xd99Hru+zaR3aWtvacPuLO
1m2lx8yiowShVxznD2ht+oFRjJISWFiY+yRd0Nf2B88C3+PFmnM7ZM0n1qv4PuslaqdaWZxWEzP0
ok+K3Vh3j5EWgdyYd241AzNcu4/ZykRo1HE+6EpL4VztP/Jy1g9Z3z0YTj3vZO/VGzezun0xVP1H
PUYHHvvph3ERj2BK70pLY82y31HZtN1NNxYWA5MRxiu6eHHEFM9s2rBgDHiFkRLpKSDh+s5253pn
OJqGOYXM3wm4ObvKjqcrZLLqvcsafBf33XiNOl9KjUBjJ08SwpnowhXRI4VoSiAltdYNaUL20GW2
H5q1iXyA03004m5+jwdsfD2Ruh2MPi6D3nYBIWdmKNOx+JhnKBzwqlAjdJax38isBzc7aPhfV/W4
i6TZHGEWxtfrMiGSFY2gRDaG05r/j73z2o1b29L1q2z0xblqCswBB91AV85VyrZviLICc858+vOx
JNmSbK+wtdHwAXZh3SxLIlnk5Jxjjj9NKjt/SNIcnxJoxShaemungwScO61BjhSGGNMWG8dxWegr
VKvKXsxtADubFBXdanBIlUKXbrhZ7UW/Z+8o6P1d2VkLr+xJs2+MZGGKfhmM0l46t4MStr0whFy5
bTJDqQOjuLCNca077iQoGxNKXmp6C9kdjIyiMIrRqYr6xCIF6bYrLP26cipjkZmdfQs/hdVUpJbW
atGfe6rhLqEPdOvM0LxrhBDZxkkyXRm5EOovwl4SdnCNe0gmoX+rx/Kt6OZkJ+rdyCkwfUyJlE/L
Wn6oU6keqGbNRPAKyh92Z3T6CXIji1QAKizSr+R9NA+1UkR7I1WaFT6fzaIszZA+Ukq0jREGM6l3
bk01THcI8dZQReSJoY9KB20SnE984jolGZtCtm5r5MTE9Cr+hBQTbOpq11irYeQfmt5ON7ZU+nuX
SF4iaqpNpXv1PFLL7BZL0mokA+LtMGupxm4HGbvyIM5ERcft9Hv/ura4DEKB+wvb7c9bQtwmsoko
L+kab5n61TnrkAC1xkZxIGrO1xxG7kIKhSuijMRpr8QIbeS43CeBqdEn7T0S6Ilfj2VvgwkNnFxH
Tc41n2zLyMPpPpcMAc2xIY9gWdnswaWO/gPq/yX9k2pSCpk2sT0T15E8yKFgloMJEJ7KdgSzuDYU
ZmFPe4DFHU8sPZTGJG+fR7l+5xHpN7Z99IiqhR99K6ZUrjUhWArBwNO6splebNq+SWzfwBJgVRyu
gX6BMnXwXB0npSXfmjVvc4gV2hQyjLWFK43SUa4H8CJQnOargOoRD1FaGFdyaj5qhb+NmorZF0UW
FqdTEiv2Nc0uHGECcpwQrjQXcuPS+TADYaQJ/oUBU2xriLp/k0LjmWYyenmrd2/ISJtrQhNOdNaE
GAcv6zPYMWQQK71PWgaUXoRXdRYYYIUdrL5Q3PV1T9pV1o1Z7fxrFHQQoATBGufDkzaDzp4ptSMT
3M7UU1rxfSz3sGaTL7Uh29xU7FWnoWy4U4NSdwSW6a3QFh4AhvKtKTpAesDxnqRjrEka4jiJa3li
YkE0InGa9DjfUBZFHeRXbJHLSV9AmNHLMloobXIUBWYh+KcTDGOneql97WJ50ajafVTF+EWUUgyo
qj21wP7XKtnXhex///8Ulj6Uu8pgJf9rK/vJ8T4/PhmYHB3sSxbH+iH0fqh+T0d59gxTzmSFNQIo
zaAVTYf2xd3eoI6VVHbGCoYk5pDB8r36JR0d6uTAw9EIbBnCEF6KX/FMpJgWSX8BtZHZmv6d4vdd
S4BGFaJtiCyYg8D6hUDwtvT1sQdrFTu08a7nbSTdQlfdmUQGetCq81f36bnufh3w8N4ohe9OcT1s
74fG6tCVf3suJ8JLHRTTRniezGCwX3REbJIGN4tpSfRW9hmh57hsbi1lJhj9nkQucewqn0LePNlr
123Ios7o/5Or4k6+7p4/XRUtGGJcuDz9PZfeTr3EApyzp6nbTcl3X4Y6GXqNbMwkJ0eug9ODEI11
DJHI46VPW086W0UMSSKFVtK4Ss//+ILk0z1/1c8frsiUcTnVFJ1n8gNYFLlGKiA6tadFX7lz2VeX
dC/UC1J47X3r4sudakK4T8O6yunT9bB4IEcS10K1HRCL27vxFxK1tXNmh3Ct4Py4VlXWHyOepSjq
WFOaL0Z7F7IPqctypCfxVscwO2hGrVmPOuz3ZbzJMVSdKoU4pu8xKhDXZEk/yVxtDDq6Fcm1tlJ/
lqoxSarq1gqqWeV6K124aOTkordZ95B2qRnEDpMoGbGCL4M0V5RXjm7PK9I6Cl1eeNQaWf6pi4Sl
gAFkX38V4rVuVCEosbIiwjCU1UVg3dRVfVtXAUp6wv7GaWss1fIGFwfUeDUs4WSuoFGPCgJZSue8
V1ee4e9CVh8AjrGpdcg67JXmImPHf8qyw02n0cmv45WiGFhKKwsdh0m6LeUs881uNkQPgA1g9sX2
wiX/Ss23tavPaAi1RoMfCeckAg0jqpmSJaNCu9VNa+VH2hB3t5TI76nCivKiJlE5pKmX0NQihi0s
uD2cxlJJCm0uklw753ki+lIWValHJEDWtPwgJfr5RMoQP+7lmKiyviR61RwjpxiJorVKVd7M2pyK
fjQWvMsAIzMh33WpMdMt91hTwqsqMqHkS1HcxfDWHTMboW7dF+AJVnfw8nhhIn6OTGPmRe3YsYtq
h21QeumV9hfHiIRtR5ExMQDJhdRnxe3bhJgdhpZc2tbBjtTkzlEym7ABjP7HUZ36LghX+FB0sXsu
905ytBSPukvRhpcGzzpPst2l0aiXhlTJ13og1wQbONVnrAphGiuWM28aw8K3IhSdmygNYowIFHsk
2THFLIpZSJC2VkWXrMLVTNILY1LmvYBmv8GIgqvQ26OWd+Ei1qKKrUdWO1u3Tr2NUil7LS/087yv
jYtSjp4Ncf+9SP55T4jhP6Bmv14kdyyNg6vXu2Xx+e+em0LamTz4GQO3GXTQWeNelkX8voZ20UBN
Z+wZwwr3rSmk0/nBLwZfYwh7MFRBRF7WRe1MYjGj1GO1xR9aNv7Ouoit5Nt1YTAfVhQso+g0gRwb
8rumEHJvWaw7P8IiB6/82Dg6BiaCHnq1nat29sYLKw0yf4SZbaBPyI8W5pnYhsdW1Yytb+Ly1Rbm
nJxa5LFpwxaXXbkam9cOxBiclCw6KtVA8OpQETaBWp/XObkljazk0JGr8LJwYav4Vp4viHz+7A8d
i0LfdgUzgql5sOexFi9r+7yCb6SjMZ+K+AWO2MVft65tzvKhSWxE2obIXf1oEGEyrwNrWiQyjAzT
6rdh1LNqNGU0CunSj2oQXiSQzawpajJifFJbVFNyRmEVKZMMq/1RKxmDjFCYJFZznrkqLRfrnnVy
1KTRJqrA7Ar5gsb+OslTokorb4z27lGTvHYluDaW5Hlg9nNyqC897u0ep3KqgF5I563hXbciG2Gh
2VQaN9MqU2Xjd3xlTwl2aowyhnjIUZxmW0WrChwok2juteUdm3WiUm8K5pxRkeHQgHnYSpXccNcJ
5Y2udZMwq6ahisFkpGZjyYwfSxUA29JBqhSJpDYdtaR/lVnO0k3ZMRLg5ZBuko7gRDkTofcXQled
C7JWg1EU7XXl9dpSMSLsgOV24gXJtEuxt2mNzFlEieNegrCQMVVjXchezCnUcNa2nQmjJVL32smj
QevBMeGzjcGosJwqaYHT49aWMp7pV0qUYPeVqS59OLWa+JHbXYqh3bt4SJTpHPDK2bc66T3aNQJh
tDy+Hh+aXBDGKBG2jqjuXZ8Ej0C/dcJuhx6+G5cVlZzf5BsnL5YCsn2Cw24bB9kruTed1nk8qmKX
5+VjEF+KOAuwNbSUBcGZ4bijczctpamK5FWkvz7KyNQd2y22L4S777pa3GCAT9EA09I0TSA28oQL
8dqObuQwpWXogg23+nBuf5mJwigPU/EadbhH+lutoetDETCL3bhgSWqkeYZQPtako2oL3rqXrMfQ
t7bKEJsmRgRJZAelNFFX+pMkkC/y3pU+15BXRCQo3lTFyunS0iFZ2fgpjOTO0Oj25cK+dxXtIDV9
OfMsyZ3H4Kl3KTmxaywNvHJcdJp+CDMlXSl20a19NTdZUTIXtCl21iiMzWUs5dUSI6/w1leQmI7Z
u3kbVyYDyPUdIouM3LkqjJYUqLgslkoidp+xBUILkjXJwdWVemkYcfiFfaRx2avAnaEYBLRdCPN2
9cRag03orG1NMyslyWHr2bfbqFajq7702isk3tXKF9PoOqIAmmW1nDujPLXyY0lPaZJJbo282dK2
aIHTDdVBcy5VsbLTpL5alWieP0t+WNHbS1rMEix9nYV6sMxdS9v3eeI+4P7JylngbHYPAkWLN8FH
ZduTgLyFi9BsNLxq1iGx7XRE6lo8mGYrXjRKne1QxkubKEjca3oP1jZDT7JhqBgbRWjEDbUCABsU
EYniKjXmhCiFO/YHzsQty+7cDwnW+pNiXjm16r/XzgAFEKBVHAaZuIEO2Ge83WMEdBoTpeidpek4
4S5V86Re+kVd7EhiiWm8oUpKpaYZdbJUTfCVJ4wGgHiqYUwyVcvqGgqKMAuVLuMt8AmxKgspQXTq
iTM8Z4qxq3rO55KEpJYx52gHPRb9dSlGO5yC4YNkVn+gx82e3jbDbYeBwoiRdK3ZbTLKKfUXCAei
Mc1/8hE77SrPXXdUVU20Jw0IalzTVfZV2uBsitNfl/XjwugzondjDoxkHjessW5g2hf38CvGhWfX
BGJHGITgjasmn7FiyLwJFVAy1XopvkaBbX5GSLHC6xYPFBllrSEgPy/jcafokxSr83FWGjhpiyGY
W4QNoYLBfxdJJVelXKRtuXHT/NLG2QjoXyzBQLQVWqF23NOGxdgIM1gFrTQ4rd8R0RKti16t13ae
kHnL6+95nTarCwfAkUQbv8qpxWmnj7JGd+7cWmtWcd2oMwGkEGUSDsxJ54MHWFI4I9XRv0hJl5yk
lRPtqr4x5pYN1Fv1NLlHPZZrmyYdDIgrv9ggS7C2lSa6167oyBvH07NdwNb3IpF08eAGEADHUFjL
Nc+63SCu9OAOlNaWlgzjnX5TcU8KTa2O2Na7DxBX4nGb2+0sH96UbnhnzOHtIfSxQufBGxWS6Lty
7VbZBULcnqeZl21UMWZ9dot6l9KnnyAOKCD9RIUzoujHCmR4g63hXSbsBgcWI4ivgD3brSax+qS1
0tChYh4Ay7bWXd/o61RNgnGdxcM4yMxLc5hDvGE26Yd5pR9mGHWYa7Rh1imH+acfZiJvmJMsIRWX
gSnBqXV0pqwWXsRtbvbEnwR4JKdlQ0J4WZENVOrm0Q/lbp3aAmiJHhgHN8ISb1AMVGsKEP2OJrQ7
b8HLZ1TW+oHfFvZV5uhjKYEH6nnwD8cdaA9pynaO+07RW1QoAR2HYmZaQSjhNWD4zYxMgNaf4BSl
R2PJUfIOLp4b1bvY8M2xqGUasDbd3n4iW61mLSSSr/xVTEMsvQWkJDRO1oK0hFOlBOUicfLa2chs
G+iaFiRFj6rSrKupEsbYyOSZB+NbdARoWqbrds7E6trMwVZH61mvNY3eQq4OjbU09hNkz6WyV4Ra
3ppOq523giHNQkshkweqwEVByFAA6dWOxDneU2E4JVYKOowNBAW7NwWCgk/E3tBCxTjKjd4VplUU
UgHRFiYGymDa/NSH6LbHbM4l5pbO9y2GmJRJaMpK+SIoM+5LnJ0bdkcOuu83U7Ho0nEpx4sCpR8p
cuV1WW/0HqqoY4tblFTpVsXAhI2ZYI+pUV2i8Dx7jB1HxO6pw9bLctpJlKQEk6kGwF3tf4GY0Mw6
v7mTYoUA1lzBl6GTD7aYNTvMvuSxXuRfPeNrmAnWqpOBr3Sjk2kTsAwoCSp0fJznhpuc04u48BPQ
ijY0D5IN89uNDB1b9lycVplqrEu91RdhYqP58JQVDm0XSVCx5nmSshFY/6din96FxKoPz8gZ+V2K
lZLbHFjOr3sp9R41tXGxkiPKqwmTfu0DVYzaBvBIMsVu4ktZ92glEmMQk4NUGRd5KfpQ7jz80E87
l3/v8/7aPg9O0q/3edsHx2Wj1x1/stHjD7+h/4bGXk3XpCFP66SYe073tAhGAOMnIRdA+eknL+i/
fkZjEhIdkk7MvUn+eb3RGyROaBLQsmPUCz3hHdr/R+i/fJJVfi8ZDHhXMAkGerJuQsYyVNqzrynC
wBmlqTF6F7mVq85CzgKEbzDS2xzw33PvWzLcV4znNl3SsasuVakzSS1sJL+fwW5UrjOfXWJc6hhm
pQT5taAz5P2OtaZss3lEsOK1VRjYGTaNuI8EQYMKrMWAAQYyiAqXPtW3FkWCA91c7Mws3YgCKZId
YpuxpjmuMzXtkvqSNGE0ckJYjqtKEq4sqcrWZmWQKKmSvhb7pjWVRKKPsti8EFFuTGpF3GFEXI8s
aEEooYo6v8vCLG3GALFRxvTnOBvRx3uH2kTqN5pbkCTYqNQksE5gS/ZhtDAg3e8z2ZMXtmZirKX1
yqJD47aQVfR8sdC1zjgKO/28cRXrykwQXzVS0GxT7AzHfhfVIwV/1KmCPIatpBXTT9SBgWibYnRt
NtWFnbSpMcqK5EJizaLThRAKlzla3+JGZgYCf42b+pwcZr2DxQW+u8m80m/mtlnXyGKb0AlGVpy1
zqSQbNZARwA0G3WJTzaDI3UFbcTaEqTzHtVrt88dU4/PJVVk0oELb+eLgFQEm92fKfXLSix1f2XX
6CwmiW9L9bSqdK2fKVjVfsIGLdPOzSgvZbBGtjvAyVCQ2D7JQTdS+qKuZrZe1HOjFN17MSGOcxyl
kTWP80q60ZA+5jDNHGeQrzxaVruuBCJJicySN0nepZRSooBtKYmlho462RXtA+xJfcTKUjqoPSO2
QnlDjmbmnVN5UZGK2PwkyFBQhGpiMy/UuLhXotpYJLLgenOvhpY2CRMxmwRgvFeswfiYdQYA7CRC
ZHmJ7VG3we0R/mXraRMCVcLLEp+zCX25EMFi7JK3oCQr0QDJRH3nTEXPXFHGWVMK/v7Kjj1pVmeJ
ttIB98laJxAhlsS9Q1hgkBTFZafiZubStdsLjmTjQNM4RLNCoCYlO8fyihQig2COiH+fk/kabujr
mBOOlRP4GEabPFOlYCT5qnfFaK3WCb0i9D0ygCpcYM9fdk7QpDiAVhMaEPooJMFn6dRNsLdMu/5c
8mxtso5sMiYdjGsBwZu2RVgnNM2E4hvbyci4aT0vOs86ElgbfPQIx+1vIh/vCdItMeA2jfQyqpyC
Za/yue9+N9cJbf1sWJARQqGvtmnZPSRVlZKz28nR1GxtUgEFIix0iHXBp1Ro9Msm6aSACjkwvqRd
Cc1NjHR12YQ1oYZtW8G/AWPVBbmaanVWzcQsz+a9ZTTjvNXCcSQp4MqtL47V3AkXoSWsxKjUmWGi
dqtrYvXJFgvg2sIJD46lZKuCZMRVhrv7fmjWHlUCx8snLum/l8W/tCwOooBfL4uTbyEHWMX9uDQO
f/wMDQ4AINYoA2Mc1OfV0miIZyyJr1BD2pMvS6N4xk94EcCqEC7hrfV9aQQ11BVWTegDyIzoj/6d
pdF6JywZJDOKCi+P/1Rs33/gxeUCwtlYUjGJ8B4rQ98ZuTZPdevKt5muRF+ahh1tzBo+kOfIeErr
n9mAzCvri9uA4kiCs4YIcRNU+hzl+EzCXNbfIJVelWQdtEZIJVtvcZi6yWRlHpTOLO21ud/nkJrG
iQuWEaZrKR/rlTnTG/4W14/QzxdqFi4DXTnXc22n6cq8ydRz1ZbQHY4GG5nWcWddaqE9zi5NIb3s
W4yLWG5VNxkHkTgKy699eNk5MICjfq61+sxQm62Rmkt2mhspVXex2t6kCtq0Mj7wek1JTJ2HEVFA
4ExUxVc9ZmDwcdSrQnfIMfX3ka0iaXetCDgoHzLeaoKdw/PSMRZKWuC3qNVfyty6Es38k69yy+jU
4S+qL8kkmmKQcyeUNFlpo6rMQK9G3s9QV0bDG3zz9BANvLUVIGhGzdDnfq3CQjdSuKKgYmuUTaB7
n7SjTpPtta7bGzniWGJ2xkFvTAUs2mqezB9fwHs1yQliFhEN0+Kn148hydsLoHdBWSAT9IBhX58C
zZhVPmtFdoV1p2kQ5+S9agf6vLL7g5/1N3XsKRtAcWEZ6fR1jdFDp5T5rAeCxVlT8WaGZEdTO+k3
bZgvqmxopZmOsBShPEV4fSBDCqPJPG7YA8EAxMyrCacNVhYYaeosOba2sC1lnbXYrrgUVdOqkO+6
xiZPt+3PK5Lf+oKeFe/erZLJa6iPW9MnGC5zs1WSpc5Tqubfmki33l1OHuxjeSL9fiMBn8ra7//3
y98azvXt134P5jATGmCMKcmyOsxDGrPcq2HzA4n456yKf/wPOTG/nEx/eorvlAuSBdiFqpqGq8jg
d/Yc0zbMq1COtYHnwY7jNeGYeVVFbAgdQ+SyYWq8nldJpADPQG10OuTfIhz/IIt4nliRkRJ1Qevj
fZhnBrnKdwbXaLu5hvC+ta6kGeoYZP3eiD08IiimS7G4UK6hhFkVDYHrIvOAbG9tws89W8BnWB2L
QfTFsmuyhdl9Y3AtzAwzn9cpwfNFtHTNr12rTtwU0nHl3VbNF5mcQaFDTS3ilUsKWiN3e2wKUXCt
YGANmbULW7+q5Z1z78ZsKbRNxysVN9skr8a2/gixCmWbjNsrqK6+1HywI8jUO/TaEzLfiLzu5pEe
kM3UVuMWaY4mzKFn5TPos2TFV+Gudb/EFizGuPmKRz9EK/E8ynoXQSHelZrSpdPCQPAR35XhXjfh
VFZYtlP/oVSCRRW6NFd4Sw35IPn+pRP2S0XJZ2InLwQ1WgWiHo6xNcKRDg1Pmu6LCs/izMnhP+Jv
6IuHEAlZm/r+SCDHTavUeBxn6meRspXHNMX/d5pA9PZRjqtFMOvgguewJ309n+BRvVW88lBicyXZ
yl1g6Ic24VoRf2q4nMhUkd11ImAdEllThy3dyDdVCZsl6lu95qjouQ8OXvm0Nwus2U1vl0EL8Ns/
kYTh6P5+vue9EyHyGBJVhfEDnyWoxaL1EvLS2j66zompH6tqcWhrbeE2QzYXu4HQ0FdlEM/DdK9F
7VyT1HUZQTTsRKWGkww510Z/oXshdaw486pmluPUPqps5aDUCRWrdqmoGha/fjHJFG+dxWuxUud5
Gq+ljmXenMbkHqRef66F7sLELjiXrF3JI0w771ElsVsLPgvcZpsVB0B15vgBezV3DAo1yZph71Xg
TgUHo4UkngsLZMuHXMtntaIeOjw8dNXZtrDLrTaaR2555aeIeySdkhn074uusfyCfWR6vyO1F5vY
xMlGhgHaZDEqgw4iTM0yBIc8C+c4TY60yPwalR2x6vhBN0PHlgR4fB77TY/poGnaxy7VZgkM74gD
jlgjBoPfbsV0cSvLzs6Pr+Q83+a2uiik5ipuv/S+1q6BJxO6lZLxObMVeLpsIgVUNW4qsYdgiDS6
CuxjLTIlvxfxvBvVUbd3AAFGpp1owKBKtc6abJTq/ZdXs+tPqoKTfcOrpsdpdgYmUURoZyKJWu+s
NfpENIO8IaxUT4IHB6ovrr9zO5e+ZLkLEydfSUZ+kdnBrq/qvYNHsU8ikOepIykoslmZGQB/uBr4
RbrEonKPwShzV3lRmBZ4RRkcfLdGNRz/yejGjvLd6KZKhtKJo5nGVxjEbG+LiSIFoKwleC6ZkRuo
C+gtgp/3WjJuK4DVHPqNHbomiTf1JHX0hRAxSWVSdYTP1eI1kbkhZnVCr9EhbvpBHcWYdWQaDh69
DkSIsg547NWXTKxzJWwPnl9dpoJ03SvOhFLq3tEgZKp4nihmOUngM49sL+DEeplMW9NkaqzlR7Fy
4aiXpbABXygZjCkZdmlz4db1oTGrdarbDurhGKoK6iVdt75kRi+NlKC+0qVwX4cqAd5aiimw7041
Jb1qSuGRHI9wbHr6oy7ADtD9T3i3zvO6CGea9JiG3tylF2PFXIGTLXPYpUQ1jUtXu2kiaY56E41F
/rVxBQgNeFJEzRSKgiM2ALu4NgXabZzKI+QAiGBaYJpyS/TLoShZPVJRhn9rLQQpDkZuVd1SB19n
IhkesfqpD7Jrx2v3lRz3k7oqx71QLhSfdHWCZPDivdTcZiE6PYov/84W08vQJeRLVia6zPtObrru
mwcnFpc0qg+NittUaF5GklyPqkifVKI1tSQ0+o42c1xxxqPfiBLlHA4aeuvd4ti4qA3kNkY61rqt
mGxKu58C6c5Ki8RFwyOq8ZPfXw71f+CR7lCtrTRY+rF9CzfIn+Pq5I1p9MyyOJqbQT91G/yBack/
Bq4LaKIfKlGdZLn/OUN9QB6xjwMFmMMQZpiNfN0ob/3IOE8AM7A+zyZxDrZopfXB03yabWpNytYj
FOylLVi3ahGObCG5p1idpVVP8mRib3Ci4y/q5FBmwULGlchPaDg0+kXg+GtVhqDcw6LKeg1yMiWz
LZQTK6kQvDYT2yliVqZPvtzAFW4X0ZB9A/kYcmIZXStu/MkptE2bKzdhaSYILj5pfXbVkjE5ZVQv
M9t47GVlbVeuPm0KuNeh5Ky7Fu59hXRoQqssxIW+3wQOq5ae7HGBz8kyEo9q0YdTzK4uEqU74ntN
c7EqP4khGIQU6wl+Wd0hV8vrujdXtZG6dLa8qRAsA1m7IbgWIQX+vbLrX0mFjh1htRbbFvfP3sKW
PJxgxbwQmnbSiuIBgdIk0OybiO6/meNtrloXeiVsneBzT+pDQqPJst1dUXvnKHvIbdBuVD997D0Z
48Zu3LbWZdspt3KGU1vZLwFcLmzhax2Yj9gffGmBjugLzRAc3fkw68hkJudU0y5Itsc+C+XBVBV2
ublLpZ2m7OPqgr7QIRciGmToWRT0KzKGl+Y1MSBD+Mw4IXyHzu6oTtuJ7D8EHlgtGQdB8cmwrhrN
RdQAxhg+0laeSPLnyrk0nGium/nIVM8FrMqdAmpgJTNchK0vXrQyWdNuvxFtuDwddpOsUR6NIzw9
iAeYBuCvlo93jr6XmjtofOPIUD6VlTnSO97rQP5kWoeobTD4PBedCiZd4N5m2NmPK9p9jve1IYAg
qh5bP6FTaX1tFSWcWXXxFRr8wsudReBJ93Xj03K23GgUJBZEmgCljtVM5C6DCp+YS5+m1kioLRQq
TnSDi5UzbeVOvRdyWRqZAm5gimHOGjAcLY+vXCczJr0vXVmB8Dnputsk6E8SoN4uUVHAFiBuSoHx
Wgb4q4VmPDV0TK3qJr4jyGNu9saCNM+RHnn5WDQppxy3vRRUJG+5mE4RhI8ivzmWWGBVEkazjQ1i
XLLv1I2vUV2vrMZ9MLvqyooh4GS+vPB9oMGkoDQBXQ6mtoG4YlAJ+3V5FSo9pV1EGoy6AWN6DET4
nNLcKfWVikBbSvIt3UdmX3XrZhq99nJusmMkdQmpe6528L0aTZg0wLqTUsvxHlKtchoGQjf6T7e3
5dCoKNNSzToE8iAGM6srT4w+5YNrSJS4AaPBvlBcacW98bDt7+qRnLJNTQyjhGyKHEUUTE4S6Zen
6uBvbUmvkoj/3u9HP7DTfD77T0Wq3wCb4aeHxIvLq+QHJetf+qUXJOjnB3qjemXAxOWgoXUgSL/p
0g019Zvu3umSTorbPzpCeCy9sronRByBqqLhny8PxdXwYf8JacB5/rFhDW06UHFQp9PnSWD76g79
6h788df7UQ7843HefIFfBqWDyr0H/n5xD94d4vs9kDRiVjUNU1YRFG/4vL8HBKnTHMAZ4PR5uue/
0T2AgqqDOv6VgfDrmyCdiRIhJ5TZb7+9eQbtdYAxf79HT6gArlEU1h/65rJ5hqYaUTVe7qcP/Z/X
r4Bxhk0kkRTguKfPE5/4N3r8uOA/PZsnIfm3CeXHaeCXT1/WmQZURGq8BE+fN/eA9GJTHhzBBrOY
4fPbvQL48g4eYh8dCvIZoRy8TC8TwbuZQDqDqYdDmUY28fD57V4JYos/fA804qhRcyHq+dnrYPJj
CAh0GJ9O9Bu9B3Qvzfdk/7+7FsgW3HxsTweD3deTAO8HLH4c9/BwGD6/3SQANDdMhn+xHvjlRKDQ
WpYt5gKMck+fd5MhieToDSR855/eADAaJt/faRCAAJo8qA/PiNIZEwHJC/QZf3IjTPkMYj1z4lAw
/V53YIATPjoMWA8wVGNGNZ+f87uJUDkbQFZkoLRvh89T9fEbDoOP1oaycgYaeAo8eRrwb6sjZkPM
kSUKsOd187d7H4DD5Y9OipJ1hl84ljhUAKfPD5MC/c3BHOzpFg0MuN/rlRhyQz46IUjqGcn1qqyq
P50QDP0ML0aLVfN3LZFA8Abp2IdqZUk8QwVOTMxg8Pd2fVQxVudVeF42frtZUYI0+dEhwGSAjxOL
Hzzmn70H5plMgBC0luedwm9XJaMEHgJWPjQEqBBMgrcI5eF2vh4C2hlP3yRc+3nJ+O2+PdtbbAh4
QT94ByTjjOc/MHrfLgY0SwCohpLheSLkx7/bPPhUHD1d2D+/XWQMsOZhJg/gc/r8cCPoF+Dz+bKZ
/O0WBAWKxEdvAjUSul+KA5omP5kNTJHSQGeriJPc6fPbvQ+YNgxBBh+aDZgSCaCCpjJEHryaDUzj
zMLx1MKs7unzN4bAXygjv3VYx64X3p8asN5D8cpp8E9/4aU/+eMBnvuOy/v/+o+Bs/DmFwfK5dOh
H07ehsP///ebzdRpL/Tqhy97o9N5nv/8+Qv+eOo353r5Vi//uPAe8mN+h7fH6dTPl7k7RrRxoR+5
mL0c8uP9Q+G+aRGf+qPfL+i//uPN5b56/H94/KI4Rq8P+9Rz+uhhR557zF8f9ql/8dHDLo55d4yP
rw/83Bv48JG96HiHkOSndxrKIL3Ij55idYyi6h//5xil//cf62Phgg+9HPQ0JDVkCC//8FMG8Lf3
+Y8e6PqYxyAYwdub9FQmf/QbrBmn4bsDn0rPjx54cwwK93jfPDykL3fgdEtw62Uy/+jRt8d7t/v5
O/RUO370BPt7j8t/udDhyvH6/1c8zEN1X925D3nevTm4rgxpex+96kMV+8evL8c5XfVTFfnRA18c
/WNRusc3iNZz8+Kjx770sBF+M2HBHxoQjI8e+OoYeeE/dsf76uVYwx15BmA+evDrssSn6yeT+HO5
8tHj3z4U5T9GDzGWJ2+u/qkO+OjRt0cmcyas8q3F7nMD4qNHn1c+Ry9fX/e3nv+Hj528eSuH45JY
/XKqf36SZVX+pq/YeXfJV57ushjsZoqXgw+jh64Bjmv/gkn9f/Iq/vXyhGWcdCJZfvR2bb0+yd+W
Axwab5zBNP2jB/9jk+ZvRdc/V8b8nLz9ctHDszh9EQjXL//2zz/8P3EW+uA32R7jwcz65TKfLx0E
YBCNfvQZ/JlY9oPXPnkIXe/lKr9f+QDkfvTKf0nBf4ZH/gXr4ZgV697DUPFtmf0NfvnoVxi77rEs
veKHM3wHNj56itM6cwyGL/Jyy0+P4fkM/4JaasVS8Mvj05P/6De4emAWdd7X+N/7O/9PlJrvk5gC
DB+YO0GBYw4c5QcOeABPgAcuiAHuugAeuQeTJr+MwF4ekbOZBG+WxNbfhE/aYfZCYYtzsGlD7WKD
VCTnpCYW2QEAAAD//w==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 lastClr="FFFFFF">
                <a:lumMod val="95000"/>
              </a:sysClr>
            </a:solidFill>
            <a:latin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496">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lumMod val="65000"/>
          <a:lumOff val="35000"/>
        </a:schemeClr>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lumMod val="65000"/>
            <a:lumOff val="35000"/>
          </a:schemeClr>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1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4.xml"/><Relationship Id="rId4" Type="http://schemas.microsoft.com/office/2014/relationships/chartEx" Target="../charts/chartEx1.xml"/></Relationships>
</file>

<file path=xl/drawings/drawing1.xml><?xml version="1.0" encoding="utf-8"?>
<xdr:wsDr xmlns:xdr="http://schemas.openxmlformats.org/drawingml/2006/spreadsheetDrawing" xmlns:a="http://schemas.openxmlformats.org/drawingml/2006/main">
  <xdr:oneCellAnchor>
    <xdr:from>
      <xdr:col>1</xdr:col>
      <xdr:colOff>171888</xdr:colOff>
      <xdr:row>1</xdr:row>
      <xdr:rowOff>35998</xdr:rowOff>
    </xdr:from>
    <xdr:ext cx="537560" cy="555209"/>
    <xdr:pic>
      <xdr:nvPicPr>
        <xdr:cNvPr id="2" name="Picture 3" descr="icons8-amazon">
          <a:extLst>
            <a:ext uri="{FF2B5EF4-FFF2-40B4-BE49-F238E27FC236}">
              <a16:creationId xmlns:a16="http://schemas.microsoft.com/office/drawing/2014/main" id="{8B23FE3D-4EB1-4B16-8481-B771E616430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76233" y="233067"/>
          <a:ext cx="537560" cy="555209"/>
        </a:xfrm>
        <a:prstGeom prst="rect">
          <a:avLst/>
        </a:prstGeom>
      </xdr:spPr>
    </xdr:pic>
    <xdr:clientData/>
  </xdr:oneCellAnchor>
  <xdr:oneCellAnchor>
    <xdr:from>
      <xdr:col>5</xdr:col>
      <xdr:colOff>1277883</xdr:colOff>
      <xdr:row>1</xdr:row>
      <xdr:rowOff>76397</xdr:rowOff>
    </xdr:from>
    <xdr:ext cx="414086" cy="414382"/>
    <xdr:pic>
      <xdr:nvPicPr>
        <xdr:cNvPr id="3" name="Picture 2" descr="icons8-increase-100">
          <a:extLst>
            <a:ext uri="{FF2B5EF4-FFF2-40B4-BE49-F238E27FC236}">
              <a16:creationId xmlns:a16="http://schemas.microsoft.com/office/drawing/2014/main" id="{71C969CE-D5AD-47D1-8B3E-82380584EFDC}"/>
            </a:ext>
          </a:extLst>
        </xdr:cNvPr>
        <xdr:cNvPicPr>
          <a:picLocks noChangeAspect="1"/>
        </xdr:cNvPicPr>
      </xdr:nvPicPr>
      <xdr:blipFill>
        <a:blip xmlns:r="http://schemas.openxmlformats.org/officeDocument/2006/relationships" r:embed="rId3"/>
        <a:stretch>
          <a:fillRect/>
        </a:stretch>
      </xdr:blipFill>
      <xdr:spPr>
        <a:xfrm>
          <a:off x="11272783" y="266897"/>
          <a:ext cx="414086" cy="414382"/>
        </a:xfrm>
        <a:prstGeom prst="rect">
          <a:avLst/>
        </a:prstGeom>
      </xdr:spPr>
    </xdr:pic>
    <xdr:clientData/>
  </xdr:oneCellAnchor>
  <xdr:twoCellAnchor editAs="absolute">
    <xdr:from>
      <xdr:col>9</xdr:col>
      <xdr:colOff>323850</xdr:colOff>
      <xdr:row>3</xdr:row>
      <xdr:rowOff>0</xdr:rowOff>
    </xdr:from>
    <xdr:to>
      <xdr:col>10</xdr:col>
      <xdr:colOff>890231</xdr:colOff>
      <xdr:row>13</xdr:row>
      <xdr:rowOff>63500</xdr:rowOff>
    </xdr:to>
    <mc:AlternateContent xmlns:mc="http://schemas.openxmlformats.org/markup-compatibility/2006" xmlns:sle15="http://schemas.microsoft.com/office/drawing/2012/slicer">
      <mc:Choice Requires="sle15">
        <xdr:graphicFrame macro="">
          <xdr:nvGraphicFramePr>
            <xdr:cNvPr id="9" name="State">
              <a:extLst>
                <a:ext uri="{FF2B5EF4-FFF2-40B4-BE49-F238E27FC236}">
                  <a16:creationId xmlns:a16="http://schemas.microsoft.com/office/drawing/2014/main" id="{8837CD98-EFE0-4876-9D67-077FEFC4A011}"/>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16217900" y="952500"/>
              <a:ext cx="1836381" cy="30480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10</xdr:col>
      <xdr:colOff>920750</xdr:colOff>
      <xdr:row>3</xdr:row>
      <xdr:rowOff>0</xdr:rowOff>
    </xdr:from>
    <xdr:to>
      <xdr:col>11</xdr:col>
      <xdr:colOff>1059564</xdr:colOff>
      <xdr:row>13</xdr:row>
      <xdr:rowOff>50800</xdr:rowOff>
    </xdr:to>
    <mc:AlternateContent xmlns:mc="http://schemas.openxmlformats.org/markup-compatibility/2006" xmlns:sle15="http://schemas.microsoft.com/office/drawing/2012/slicer">
      <mc:Choice Requires="sle15">
        <xdr:graphicFrame macro="">
          <xdr:nvGraphicFramePr>
            <xdr:cNvPr id="10" name="City">
              <a:extLst>
                <a:ext uri="{FF2B5EF4-FFF2-40B4-BE49-F238E27FC236}">
                  <a16:creationId xmlns:a16="http://schemas.microsoft.com/office/drawing/2014/main" id="{C6B470BE-D0A5-4601-8A3C-B4D050CC717F}"/>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18084800" y="952500"/>
              <a:ext cx="1840614" cy="30353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1085850</xdr:colOff>
      <xdr:row>3</xdr:row>
      <xdr:rowOff>12700</xdr:rowOff>
    </xdr:from>
    <xdr:to>
      <xdr:col>12</xdr:col>
      <xdr:colOff>170564</xdr:colOff>
      <xdr:row>13</xdr:row>
      <xdr:rowOff>38100</xdr:rowOff>
    </xdr:to>
    <mc:AlternateContent xmlns:mc="http://schemas.openxmlformats.org/markup-compatibility/2006" xmlns:sle15="http://schemas.microsoft.com/office/drawing/2012/slicer">
      <mc:Choice Requires="sle15">
        <xdr:graphicFrame macro="">
          <xdr:nvGraphicFramePr>
            <xdr:cNvPr id="11" name="Product Category">
              <a:extLst>
                <a:ext uri="{FF2B5EF4-FFF2-40B4-BE49-F238E27FC236}">
                  <a16:creationId xmlns:a16="http://schemas.microsoft.com/office/drawing/2014/main" id="{47FBAD07-5A53-418A-B90F-07CC2CE37A62}"/>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9951700" y="965200"/>
              <a:ext cx="1840614" cy="3009900"/>
            </a:xfrm>
            <a:prstGeom prst="rect">
              <a:avLst/>
            </a:prstGeom>
            <a:solidFill>
              <a:prstClr val="white"/>
            </a:solidFill>
            <a:ln w="1">
              <a:solidFill>
                <a:prstClr val="green"/>
              </a:solidFill>
            </a:ln>
          </xdr:spPr>
          <xdr:txBody>
            <a:bodyPr vertOverflow="clip" horzOverflow="clip"/>
            <a:lstStyle/>
            <a:p>
              <a:r>
                <a:rPr lang="en-IN"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39429</xdr:colOff>
      <xdr:row>2</xdr:row>
      <xdr:rowOff>133048</xdr:rowOff>
    </xdr:from>
    <xdr:to>
      <xdr:col>13</xdr:col>
      <xdr:colOff>350761</xdr:colOff>
      <xdr:row>33</xdr:row>
      <xdr:rowOff>169332</xdr:rowOff>
    </xdr:to>
    <xdr:graphicFrame macro="">
      <xdr:nvGraphicFramePr>
        <xdr:cNvPr id="3" name="Chart 2">
          <a:extLst>
            <a:ext uri="{FF2B5EF4-FFF2-40B4-BE49-F238E27FC236}">
              <a16:creationId xmlns:a16="http://schemas.microsoft.com/office/drawing/2014/main" id="{3D2114A7-A95B-1CDD-FA70-0AE4518245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19</xdr:col>
      <xdr:colOff>21772</xdr:colOff>
      <xdr:row>41</xdr:row>
      <xdr:rowOff>159</xdr:rowOff>
    </xdr:from>
    <xdr:to>
      <xdr:col>28</xdr:col>
      <xdr:colOff>21772</xdr:colOff>
      <xdr:row>63</xdr:row>
      <xdr:rowOff>163285</xdr:rowOff>
    </xdr:to>
    <xdr:graphicFrame macro="">
      <xdr:nvGraphicFramePr>
        <xdr:cNvPr id="6" name="Chart 5">
          <a:extLst>
            <a:ext uri="{FF2B5EF4-FFF2-40B4-BE49-F238E27FC236}">
              <a16:creationId xmlns:a16="http://schemas.microsoft.com/office/drawing/2014/main" id="{84B79C5D-9D4C-B5D0-0118-775AF3B558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30134</xdr:colOff>
      <xdr:row>40</xdr:row>
      <xdr:rowOff>174172</xdr:rowOff>
    </xdr:from>
    <xdr:to>
      <xdr:col>36</xdr:col>
      <xdr:colOff>402771</xdr:colOff>
      <xdr:row>64</xdr:row>
      <xdr:rowOff>0</xdr:rowOff>
    </xdr:to>
    <xdr:graphicFrame macro="">
      <xdr:nvGraphicFramePr>
        <xdr:cNvPr id="9" name="Chart 8">
          <a:extLst>
            <a:ext uri="{FF2B5EF4-FFF2-40B4-BE49-F238E27FC236}">
              <a16:creationId xmlns:a16="http://schemas.microsoft.com/office/drawing/2014/main" id="{32AA5BAF-822A-D71F-CDC7-DCD1ACED79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0</xdr:colOff>
      <xdr:row>2</xdr:row>
      <xdr:rowOff>182880</xdr:rowOff>
    </xdr:from>
    <xdr:to>
      <xdr:col>36</xdr:col>
      <xdr:colOff>274320</xdr:colOff>
      <xdr:row>34</xdr:row>
      <xdr:rowOff>45720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7B98274D-2E6B-4D4A-BD82-208F8EDBD01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13837920" y="792480"/>
              <a:ext cx="10637520" cy="573024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xdr:col>
      <xdr:colOff>15241</xdr:colOff>
      <xdr:row>41</xdr:row>
      <xdr:rowOff>45720</xdr:rowOff>
    </xdr:from>
    <xdr:to>
      <xdr:col>12</xdr:col>
      <xdr:colOff>576944</xdr:colOff>
      <xdr:row>63</xdr:row>
      <xdr:rowOff>174171</xdr:rowOff>
    </xdr:to>
    <xdr:graphicFrame macro="">
      <xdr:nvGraphicFramePr>
        <xdr:cNvPr id="11" name="Chart 10">
          <a:extLst>
            <a:ext uri="{FF2B5EF4-FFF2-40B4-BE49-F238E27FC236}">
              <a16:creationId xmlns:a16="http://schemas.microsoft.com/office/drawing/2014/main" id="{A9F1F107-6798-46B6-BC17-333BE434FF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13</xdr:col>
      <xdr:colOff>508000</xdr:colOff>
      <xdr:row>2</xdr:row>
      <xdr:rowOff>157237</xdr:rowOff>
    </xdr:from>
    <xdr:to>
      <xdr:col>16</xdr:col>
      <xdr:colOff>508221</xdr:colOff>
      <xdr:row>33</xdr:row>
      <xdr:rowOff>145143</xdr:rowOff>
    </xdr:to>
    <mc:AlternateContent xmlns:mc="http://schemas.openxmlformats.org/markup-compatibility/2006" xmlns:a14="http://schemas.microsoft.com/office/drawing/2010/main">
      <mc:Choice Requires="a14">
        <xdr:graphicFrame macro="">
          <xdr:nvGraphicFramePr>
            <xdr:cNvPr id="13" name="City 1">
              <a:extLst>
                <a:ext uri="{FF2B5EF4-FFF2-40B4-BE49-F238E27FC236}">
                  <a16:creationId xmlns:a16="http://schemas.microsoft.com/office/drawing/2014/main" id="{60BFB523-7C5F-4B81-8428-23D50171EF1A}"/>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10699750" y="766837"/>
              <a:ext cx="1829021" cy="589340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217715</xdr:colOff>
      <xdr:row>41</xdr:row>
      <xdr:rowOff>72574</xdr:rowOff>
    </xdr:from>
    <xdr:to>
      <xdr:col>16</xdr:col>
      <xdr:colOff>232230</xdr:colOff>
      <xdr:row>57</xdr:row>
      <xdr:rowOff>84667</xdr:rowOff>
    </xdr:to>
    <mc:AlternateContent xmlns:mc="http://schemas.openxmlformats.org/markup-compatibility/2006" xmlns:a14="http://schemas.microsoft.com/office/drawing/2010/main">
      <mc:Choice Requires="a14">
        <xdr:graphicFrame macro="">
          <xdr:nvGraphicFramePr>
            <xdr:cNvPr id="15" name="Product Category 1">
              <a:extLst>
                <a:ext uri="{FF2B5EF4-FFF2-40B4-BE49-F238E27FC236}">
                  <a16:creationId xmlns:a16="http://schemas.microsoft.com/office/drawing/2014/main" id="{063265B2-4466-4E3D-BA7F-7CC5A7616FE5}"/>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0409465" y="8302174"/>
              <a:ext cx="1843315" cy="306009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T Chirag" refreshedDate="45912.818648842593" createdVersion="8" refreshedVersion="8" minRefreshableVersion="3" recordCount="300" xr:uid="{668128D3-ADDD-4ACA-BEE8-F391C5C9D7F5}">
  <cacheSource type="worksheet">
    <worksheetSource ref="B4:F304" sheet="Amazon Sales Dashboard  2024"/>
  </cacheSource>
  <cacheFields count="5">
    <cacheField name="City" numFmtId="0">
      <sharedItems count="48">
        <s v="Agra"/>
        <s v="Ahmedabad"/>
        <s v="Amritsar"/>
        <s v="Aurangabad"/>
        <s v="Bareilly"/>
        <s v="Bengaluru"/>
        <s v="Bhopal"/>
        <s v="Chandigarh"/>
        <s v="Chennai"/>
        <s v="Coimbatore"/>
        <s v="Dehradun"/>
        <s v="Delhi"/>
        <s v="Faridabad"/>
        <s v="Ghaziabad"/>
        <s v="Gurgaon"/>
        <s v="Guwahati"/>
        <s v="Gwalior"/>
        <s v="Hyderabad"/>
        <s v="Indore"/>
        <s v="Jabalpur"/>
        <s v="Jaipur"/>
        <s v="Jodhpur"/>
        <s v="Kanpur"/>
        <s v="Kolkata"/>
        <s v="Lucknow"/>
        <s v="Ludhiana"/>
        <s v="Madurai"/>
        <s v="Mangalore"/>
        <s v="Meerut"/>
        <s v="Mumbai"/>
        <s v="Mysuru"/>
        <s v="Nagpur"/>
        <s v="Nashik"/>
        <s v="Noida"/>
        <s v="Patna"/>
        <s v="Pune"/>
        <s v="Raipur"/>
        <s v="Rajkot"/>
        <s v="Ranchi"/>
        <s v="Salem"/>
        <s v="Surat"/>
        <s v="Thiruvananthapuram"/>
        <s v="Udaipur"/>
        <s v="Vadodara"/>
        <s v="Varanasi"/>
        <s v="Vijayawada"/>
        <s v="Visakhapatnam"/>
        <s v="Warangal"/>
      </sharedItems>
    </cacheField>
    <cacheField name="State" numFmtId="0">
      <sharedItems count="20">
        <s v="Uttar Pradesh"/>
        <s v="Gujarat"/>
        <s v="Punjab"/>
        <s v="Maharashtra"/>
        <s v="Karnataka"/>
        <s v="Madhya Pradesh"/>
        <s v="Chandigarh"/>
        <s v="Tamil Nadu"/>
        <s v="Uttarakhand"/>
        <s v="Delhi"/>
        <s v="Haryana"/>
        <s v="Assam"/>
        <s v="Telangana"/>
        <s v="Rajasthan"/>
        <s v="West Bengal"/>
        <s v="Bihar"/>
        <s v="Chhattisgarh"/>
        <s v="Jharkhand"/>
        <s v="Kerala"/>
        <s v="Andhra Pradesh"/>
      </sharedItems>
    </cacheField>
    <cacheField name="Product Category" numFmtId="0">
      <sharedItems count="10">
        <s v="Toys"/>
        <s v="Fashion"/>
        <s v="Books"/>
        <s v="Electronics"/>
        <s v="Beauty"/>
        <s v="Sports"/>
        <s v="Furniture"/>
        <s v="Home Appliances"/>
        <s v="Automotive"/>
        <s v="Groceries"/>
      </sharedItems>
    </cacheField>
    <cacheField name="Sales Amount (₹)" numFmtId="165">
      <sharedItems containsSemiMixedTypes="0" containsString="0" containsNumber="1" containsInteger="1" minValue="423" maxValue="98280"/>
    </cacheField>
    <cacheField name="Units Sold" numFmtId="0">
      <sharedItems containsSemiMixedTypes="0" containsString="0" containsNumber="1" containsInteger="1" minValue="1" maxValue="20"/>
    </cacheField>
  </cacheFields>
  <extLst>
    <ext xmlns:x14="http://schemas.microsoft.com/office/spreadsheetml/2009/9/main" uri="{725AE2AE-9491-48be-B2B4-4EB974FC3084}">
      <x14:pivotCacheDefinition pivotCacheId="165624688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 T Chirag" refreshedDate="45912.96770277778" createdVersion="8" refreshedVersion="8" minRefreshableVersion="3" recordCount="300" xr:uid="{69B70859-5F28-4C72-A3D8-B5A6A76BF495}">
  <cacheSource type="worksheet">
    <worksheetSource name="Main_data"/>
  </cacheSource>
  <cacheFields count="5">
    <cacheField name="City" numFmtId="0">
      <sharedItems/>
    </cacheField>
    <cacheField name="State" numFmtId="0">
      <sharedItems count="20">
        <s v="Uttar Pradesh"/>
        <s v="Gujarat"/>
        <s v="Punjab"/>
        <s v="Maharashtra"/>
        <s v="Karnataka"/>
        <s v="Madhya Pradesh"/>
        <s v="Chandigarh"/>
        <s v="Tamil Nadu"/>
        <s v="Uttarakhand"/>
        <s v="Delhi"/>
        <s v="Haryana"/>
        <s v="Assam"/>
        <s v="Telangana"/>
        <s v="Rajasthan"/>
        <s v="West Bengal"/>
        <s v="Bihar"/>
        <s v="Chhattisgarh"/>
        <s v="Jharkhand"/>
        <s v="Kerala"/>
        <s v="Andhra Pradesh"/>
      </sharedItems>
    </cacheField>
    <cacheField name="Product Category" numFmtId="0">
      <sharedItems count="10">
        <s v="Toys"/>
        <s v="Fashion"/>
        <s v="Books"/>
        <s v="Electronics"/>
        <s v="Beauty"/>
        <s v="Sports"/>
        <s v="Furniture"/>
        <s v="Home Appliances"/>
        <s v="Automotive"/>
        <s v="Groceries"/>
      </sharedItems>
    </cacheField>
    <cacheField name="Sales Amount (₹)" numFmtId="165">
      <sharedItems containsSemiMixedTypes="0" containsString="0" containsNumber="1" containsInteger="1" minValue="423" maxValue="98280"/>
    </cacheField>
    <cacheField name="Units Sold" numFmtId="0">
      <sharedItems containsSemiMixedTypes="0" containsString="0" containsNumber="1" containsInteger="1" minValue="1" maxValue="23"/>
    </cacheField>
  </cacheFields>
  <extLst>
    <ext xmlns:x14="http://schemas.microsoft.com/office/spreadsheetml/2009/9/main" uri="{725AE2AE-9491-48be-B2B4-4EB974FC3084}">
      <x14:pivotCacheDefinition pivotCacheId="201113242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x v="0"/>
    <x v="0"/>
    <x v="0"/>
    <n v="46420"/>
    <n v="14"/>
  </r>
  <r>
    <x v="0"/>
    <x v="0"/>
    <x v="1"/>
    <n v="71892"/>
    <n v="18"/>
  </r>
  <r>
    <x v="0"/>
    <x v="0"/>
    <x v="2"/>
    <n v="78380"/>
    <n v="20"/>
  </r>
  <r>
    <x v="0"/>
    <x v="0"/>
    <x v="1"/>
    <n v="14432"/>
    <n v="11"/>
  </r>
  <r>
    <x v="1"/>
    <x v="1"/>
    <x v="0"/>
    <n v="18604"/>
    <n v="4"/>
  </r>
  <r>
    <x v="1"/>
    <x v="1"/>
    <x v="3"/>
    <n v="28340"/>
    <n v="13"/>
  </r>
  <r>
    <x v="1"/>
    <x v="1"/>
    <x v="0"/>
    <n v="27132"/>
    <n v="7"/>
  </r>
  <r>
    <x v="1"/>
    <x v="1"/>
    <x v="2"/>
    <n v="34105"/>
    <n v="19"/>
  </r>
  <r>
    <x v="1"/>
    <x v="1"/>
    <x v="4"/>
    <n v="9324"/>
    <n v="3"/>
  </r>
  <r>
    <x v="1"/>
    <x v="1"/>
    <x v="5"/>
    <n v="16176"/>
    <n v="16"/>
  </r>
  <r>
    <x v="1"/>
    <x v="1"/>
    <x v="2"/>
    <n v="68799"/>
    <n v="19"/>
  </r>
  <r>
    <x v="2"/>
    <x v="2"/>
    <x v="5"/>
    <n v="8816"/>
    <n v="8"/>
  </r>
  <r>
    <x v="2"/>
    <x v="2"/>
    <x v="2"/>
    <n v="9264"/>
    <n v="3"/>
  </r>
  <r>
    <x v="3"/>
    <x v="3"/>
    <x v="2"/>
    <n v="6450"/>
    <n v="10"/>
  </r>
  <r>
    <x v="3"/>
    <x v="3"/>
    <x v="5"/>
    <n v="20682"/>
    <n v="18"/>
  </r>
  <r>
    <x v="3"/>
    <x v="3"/>
    <x v="0"/>
    <n v="44550"/>
    <n v="9"/>
  </r>
  <r>
    <x v="4"/>
    <x v="0"/>
    <x v="4"/>
    <n v="19672"/>
    <n v="4"/>
  </r>
  <r>
    <x v="4"/>
    <x v="0"/>
    <x v="3"/>
    <n v="8949"/>
    <n v="19"/>
  </r>
  <r>
    <x v="4"/>
    <x v="0"/>
    <x v="6"/>
    <n v="14880"/>
    <n v="12"/>
  </r>
  <r>
    <x v="4"/>
    <x v="0"/>
    <x v="7"/>
    <n v="61470"/>
    <n v="18"/>
  </r>
  <r>
    <x v="5"/>
    <x v="4"/>
    <x v="4"/>
    <n v="3774"/>
    <n v="3"/>
  </r>
  <r>
    <x v="5"/>
    <x v="4"/>
    <x v="8"/>
    <n v="60571"/>
    <n v="17"/>
  </r>
  <r>
    <x v="5"/>
    <x v="4"/>
    <x v="3"/>
    <n v="9648"/>
    <n v="6"/>
  </r>
  <r>
    <x v="5"/>
    <x v="4"/>
    <x v="9"/>
    <n v="6540"/>
    <n v="15"/>
  </r>
  <r>
    <x v="5"/>
    <x v="4"/>
    <x v="7"/>
    <n v="1108"/>
    <n v="4"/>
  </r>
  <r>
    <x v="5"/>
    <x v="4"/>
    <x v="1"/>
    <n v="16764"/>
    <n v="6"/>
  </r>
  <r>
    <x v="5"/>
    <x v="4"/>
    <x v="2"/>
    <n v="16812"/>
    <n v="12"/>
  </r>
  <r>
    <x v="5"/>
    <x v="4"/>
    <x v="4"/>
    <n v="66540"/>
    <n v="20"/>
  </r>
  <r>
    <x v="5"/>
    <x v="4"/>
    <x v="7"/>
    <n v="15533"/>
    <n v="7"/>
  </r>
  <r>
    <x v="5"/>
    <x v="4"/>
    <x v="8"/>
    <n v="1731"/>
    <n v="1"/>
  </r>
  <r>
    <x v="5"/>
    <x v="4"/>
    <x v="7"/>
    <n v="20592"/>
    <n v="13"/>
  </r>
  <r>
    <x v="6"/>
    <x v="5"/>
    <x v="3"/>
    <n v="64038"/>
    <n v="13"/>
  </r>
  <r>
    <x v="6"/>
    <x v="5"/>
    <x v="0"/>
    <n v="20655"/>
    <n v="15"/>
  </r>
  <r>
    <x v="7"/>
    <x v="6"/>
    <x v="5"/>
    <n v="57470"/>
    <n v="14"/>
  </r>
  <r>
    <x v="7"/>
    <x v="6"/>
    <x v="2"/>
    <n v="9321"/>
    <n v="3"/>
  </r>
  <r>
    <x v="7"/>
    <x v="6"/>
    <x v="7"/>
    <n v="26460"/>
    <n v="9"/>
  </r>
  <r>
    <x v="7"/>
    <x v="6"/>
    <x v="9"/>
    <n v="37972"/>
    <n v="11"/>
  </r>
  <r>
    <x v="7"/>
    <x v="6"/>
    <x v="7"/>
    <n v="90840"/>
    <n v="20"/>
  </r>
  <r>
    <x v="8"/>
    <x v="7"/>
    <x v="3"/>
    <n v="27072"/>
    <n v="18"/>
  </r>
  <r>
    <x v="8"/>
    <x v="7"/>
    <x v="1"/>
    <n v="79764"/>
    <n v="17"/>
  </r>
  <r>
    <x v="8"/>
    <x v="7"/>
    <x v="1"/>
    <n v="60128"/>
    <n v="16"/>
  </r>
  <r>
    <x v="8"/>
    <x v="7"/>
    <x v="1"/>
    <n v="15540"/>
    <n v="5"/>
  </r>
  <r>
    <x v="8"/>
    <x v="7"/>
    <x v="1"/>
    <n v="50141"/>
    <n v="19"/>
  </r>
  <r>
    <x v="8"/>
    <x v="7"/>
    <x v="7"/>
    <n v="28800"/>
    <n v="16"/>
  </r>
  <r>
    <x v="9"/>
    <x v="7"/>
    <x v="4"/>
    <n v="56797"/>
    <n v="13"/>
  </r>
  <r>
    <x v="9"/>
    <x v="7"/>
    <x v="1"/>
    <n v="16800"/>
    <n v="7"/>
  </r>
  <r>
    <x v="9"/>
    <x v="7"/>
    <x v="7"/>
    <n v="39344"/>
    <n v="16"/>
  </r>
  <r>
    <x v="9"/>
    <x v="7"/>
    <x v="5"/>
    <n v="23430"/>
    <n v="6"/>
  </r>
  <r>
    <x v="9"/>
    <x v="7"/>
    <x v="6"/>
    <n v="11040"/>
    <n v="5"/>
  </r>
  <r>
    <x v="9"/>
    <x v="7"/>
    <x v="8"/>
    <n v="25857"/>
    <n v="17"/>
  </r>
  <r>
    <x v="9"/>
    <x v="7"/>
    <x v="3"/>
    <n v="7695"/>
    <n v="15"/>
  </r>
  <r>
    <x v="9"/>
    <x v="7"/>
    <x v="0"/>
    <n v="423"/>
    <n v="1"/>
  </r>
  <r>
    <x v="10"/>
    <x v="8"/>
    <x v="6"/>
    <n v="36652"/>
    <n v="11"/>
  </r>
  <r>
    <x v="10"/>
    <x v="8"/>
    <x v="3"/>
    <n v="28632"/>
    <n v="12"/>
  </r>
  <r>
    <x v="10"/>
    <x v="8"/>
    <x v="6"/>
    <n v="97480"/>
    <n v="20"/>
  </r>
  <r>
    <x v="10"/>
    <x v="8"/>
    <x v="5"/>
    <n v="50240"/>
    <n v="16"/>
  </r>
  <r>
    <x v="10"/>
    <x v="8"/>
    <x v="2"/>
    <n v="33328"/>
    <n v="16"/>
  </r>
  <r>
    <x v="10"/>
    <x v="8"/>
    <x v="8"/>
    <n v="17040"/>
    <n v="20"/>
  </r>
  <r>
    <x v="10"/>
    <x v="8"/>
    <x v="0"/>
    <n v="29920"/>
    <n v="11"/>
  </r>
  <r>
    <x v="10"/>
    <x v="8"/>
    <x v="0"/>
    <n v="20465"/>
    <n v="5"/>
  </r>
  <r>
    <x v="10"/>
    <x v="8"/>
    <x v="0"/>
    <n v="5814"/>
    <n v="6"/>
  </r>
  <r>
    <x v="10"/>
    <x v="8"/>
    <x v="7"/>
    <n v="19761"/>
    <n v="7"/>
  </r>
  <r>
    <x v="10"/>
    <x v="8"/>
    <x v="2"/>
    <n v="83771"/>
    <n v="19"/>
  </r>
  <r>
    <x v="10"/>
    <x v="8"/>
    <x v="7"/>
    <n v="27812"/>
    <n v="17"/>
  </r>
  <r>
    <x v="11"/>
    <x v="9"/>
    <x v="3"/>
    <n v="24245"/>
    <n v="13"/>
  </r>
  <r>
    <x v="11"/>
    <x v="9"/>
    <x v="4"/>
    <n v="16160"/>
    <n v="4"/>
  </r>
  <r>
    <x v="11"/>
    <x v="9"/>
    <x v="2"/>
    <n v="7512"/>
    <n v="4"/>
  </r>
  <r>
    <x v="11"/>
    <x v="9"/>
    <x v="6"/>
    <n v="2041"/>
    <n v="1"/>
  </r>
  <r>
    <x v="11"/>
    <x v="9"/>
    <x v="9"/>
    <n v="58669"/>
    <n v="13"/>
  </r>
  <r>
    <x v="11"/>
    <x v="9"/>
    <x v="9"/>
    <n v="7397"/>
    <n v="13"/>
  </r>
  <r>
    <x v="12"/>
    <x v="10"/>
    <x v="6"/>
    <n v="8384"/>
    <n v="4"/>
  </r>
  <r>
    <x v="12"/>
    <x v="10"/>
    <x v="8"/>
    <n v="25050"/>
    <n v="15"/>
  </r>
  <r>
    <x v="12"/>
    <x v="10"/>
    <x v="9"/>
    <n v="35865"/>
    <n v="9"/>
  </r>
  <r>
    <x v="12"/>
    <x v="10"/>
    <x v="6"/>
    <n v="72000"/>
    <n v="16"/>
  </r>
  <r>
    <x v="12"/>
    <x v="10"/>
    <x v="4"/>
    <n v="18056"/>
    <n v="8"/>
  </r>
  <r>
    <x v="12"/>
    <x v="10"/>
    <x v="4"/>
    <n v="9825"/>
    <n v="15"/>
  </r>
  <r>
    <x v="12"/>
    <x v="10"/>
    <x v="5"/>
    <n v="68886"/>
    <n v="18"/>
  </r>
  <r>
    <x v="13"/>
    <x v="0"/>
    <x v="4"/>
    <n v="64200"/>
    <n v="20"/>
  </r>
  <r>
    <x v="13"/>
    <x v="0"/>
    <x v="8"/>
    <n v="10565"/>
    <n v="5"/>
  </r>
  <r>
    <x v="13"/>
    <x v="0"/>
    <x v="3"/>
    <n v="6999"/>
    <n v="3"/>
  </r>
  <r>
    <x v="13"/>
    <x v="0"/>
    <x v="6"/>
    <n v="23256"/>
    <n v="8"/>
  </r>
  <r>
    <x v="14"/>
    <x v="10"/>
    <x v="8"/>
    <n v="11958"/>
    <n v="3"/>
  </r>
  <r>
    <x v="14"/>
    <x v="10"/>
    <x v="6"/>
    <n v="36036"/>
    <n v="13"/>
  </r>
  <r>
    <x v="14"/>
    <x v="10"/>
    <x v="4"/>
    <n v="13360"/>
    <n v="5"/>
  </r>
  <r>
    <x v="14"/>
    <x v="10"/>
    <x v="7"/>
    <n v="7310"/>
    <n v="5"/>
  </r>
  <r>
    <x v="14"/>
    <x v="10"/>
    <x v="1"/>
    <n v="9600"/>
    <n v="2"/>
  </r>
  <r>
    <x v="14"/>
    <x v="10"/>
    <x v="0"/>
    <n v="22491"/>
    <n v="7"/>
  </r>
  <r>
    <x v="14"/>
    <x v="10"/>
    <x v="9"/>
    <n v="53985"/>
    <n v="15"/>
  </r>
  <r>
    <x v="15"/>
    <x v="11"/>
    <x v="1"/>
    <n v="15620"/>
    <n v="11"/>
  </r>
  <r>
    <x v="15"/>
    <x v="11"/>
    <x v="9"/>
    <n v="73692"/>
    <n v="18"/>
  </r>
  <r>
    <x v="15"/>
    <x v="11"/>
    <x v="7"/>
    <n v="18495"/>
    <n v="5"/>
  </r>
  <r>
    <x v="15"/>
    <x v="11"/>
    <x v="1"/>
    <n v="5287"/>
    <n v="17"/>
  </r>
  <r>
    <x v="16"/>
    <x v="5"/>
    <x v="0"/>
    <n v="62480"/>
    <n v="20"/>
  </r>
  <r>
    <x v="16"/>
    <x v="5"/>
    <x v="1"/>
    <n v="35503"/>
    <n v="13"/>
  </r>
  <r>
    <x v="16"/>
    <x v="5"/>
    <x v="0"/>
    <n v="32769"/>
    <n v="9"/>
  </r>
  <r>
    <x v="16"/>
    <x v="5"/>
    <x v="3"/>
    <n v="18165"/>
    <n v="15"/>
  </r>
  <r>
    <x v="16"/>
    <x v="5"/>
    <x v="1"/>
    <n v="18310"/>
    <n v="10"/>
  </r>
  <r>
    <x v="17"/>
    <x v="12"/>
    <x v="3"/>
    <n v="10905"/>
    <n v="5"/>
  </r>
  <r>
    <x v="17"/>
    <x v="12"/>
    <x v="0"/>
    <n v="23700"/>
    <n v="20"/>
  </r>
  <r>
    <x v="17"/>
    <x v="12"/>
    <x v="1"/>
    <n v="36138"/>
    <n v="19"/>
  </r>
  <r>
    <x v="17"/>
    <x v="12"/>
    <x v="6"/>
    <n v="4584"/>
    <n v="12"/>
  </r>
  <r>
    <x v="18"/>
    <x v="5"/>
    <x v="7"/>
    <n v="63798"/>
    <n v="14"/>
  </r>
  <r>
    <x v="18"/>
    <x v="5"/>
    <x v="5"/>
    <n v="35370"/>
    <n v="18"/>
  </r>
  <r>
    <x v="18"/>
    <x v="5"/>
    <x v="5"/>
    <n v="28098"/>
    <n v="18"/>
  </r>
  <r>
    <x v="18"/>
    <x v="5"/>
    <x v="5"/>
    <n v="68102"/>
    <n v="17"/>
  </r>
  <r>
    <x v="18"/>
    <x v="5"/>
    <x v="4"/>
    <n v="2545"/>
    <n v="1"/>
  </r>
  <r>
    <x v="18"/>
    <x v="5"/>
    <x v="1"/>
    <n v="36576"/>
    <n v="8"/>
  </r>
  <r>
    <x v="18"/>
    <x v="5"/>
    <x v="0"/>
    <n v="29326"/>
    <n v="11"/>
  </r>
  <r>
    <x v="18"/>
    <x v="5"/>
    <x v="9"/>
    <n v="7680"/>
    <n v="16"/>
  </r>
  <r>
    <x v="19"/>
    <x v="5"/>
    <x v="1"/>
    <n v="63225"/>
    <n v="15"/>
  </r>
  <r>
    <x v="19"/>
    <x v="5"/>
    <x v="5"/>
    <n v="28690"/>
    <n v="10"/>
  </r>
  <r>
    <x v="19"/>
    <x v="5"/>
    <x v="8"/>
    <n v="18000"/>
    <n v="16"/>
  </r>
  <r>
    <x v="19"/>
    <x v="5"/>
    <x v="9"/>
    <n v="20420"/>
    <n v="10"/>
  </r>
  <r>
    <x v="19"/>
    <x v="5"/>
    <x v="6"/>
    <n v="34140"/>
    <n v="20"/>
  </r>
  <r>
    <x v="19"/>
    <x v="5"/>
    <x v="9"/>
    <n v="3602"/>
    <n v="1"/>
  </r>
  <r>
    <x v="20"/>
    <x v="13"/>
    <x v="8"/>
    <n v="64170"/>
    <n v="15"/>
  </r>
  <r>
    <x v="20"/>
    <x v="13"/>
    <x v="5"/>
    <n v="98280"/>
    <n v="20"/>
  </r>
  <r>
    <x v="20"/>
    <x v="13"/>
    <x v="8"/>
    <n v="61778"/>
    <n v="17"/>
  </r>
  <r>
    <x v="20"/>
    <x v="13"/>
    <x v="6"/>
    <n v="65873"/>
    <n v="19"/>
  </r>
  <r>
    <x v="20"/>
    <x v="13"/>
    <x v="4"/>
    <n v="6410"/>
    <n v="2"/>
  </r>
  <r>
    <x v="20"/>
    <x v="13"/>
    <x v="6"/>
    <n v="46200"/>
    <n v="14"/>
  </r>
  <r>
    <x v="21"/>
    <x v="13"/>
    <x v="5"/>
    <n v="21091"/>
    <n v="7"/>
  </r>
  <r>
    <x v="21"/>
    <x v="13"/>
    <x v="8"/>
    <n v="68528"/>
    <n v="16"/>
  </r>
  <r>
    <x v="21"/>
    <x v="13"/>
    <x v="1"/>
    <n v="25068"/>
    <n v="12"/>
  </r>
  <r>
    <x v="21"/>
    <x v="13"/>
    <x v="3"/>
    <n v="65325"/>
    <n v="15"/>
  </r>
  <r>
    <x v="21"/>
    <x v="13"/>
    <x v="4"/>
    <n v="47826"/>
    <n v="18"/>
  </r>
  <r>
    <x v="21"/>
    <x v="13"/>
    <x v="6"/>
    <n v="24843"/>
    <n v="7"/>
  </r>
  <r>
    <x v="21"/>
    <x v="13"/>
    <x v="0"/>
    <n v="4480"/>
    <n v="8"/>
  </r>
  <r>
    <x v="21"/>
    <x v="13"/>
    <x v="3"/>
    <n v="34176"/>
    <n v="12"/>
  </r>
  <r>
    <x v="21"/>
    <x v="13"/>
    <x v="6"/>
    <n v="27280"/>
    <n v="20"/>
  </r>
  <r>
    <x v="22"/>
    <x v="0"/>
    <x v="3"/>
    <n v="12384"/>
    <n v="12"/>
  </r>
  <r>
    <x v="22"/>
    <x v="0"/>
    <x v="2"/>
    <n v="4476"/>
    <n v="6"/>
  </r>
  <r>
    <x v="22"/>
    <x v="0"/>
    <x v="7"/>
    <n v="8896"/>
    <n v="4"/>
  </r>
  <r>
    <x v="22"/>
    <x v="0"/>
    <x v="6"/>
    <n v="14620"/>
    <n v="17"/>
  </r>
  <r>
    <x v="22"/>
    <x v="0"/>
    <x v="2"/>
    <n v="1436"/>
    <n v="4"/>
  </r>
  <r>
    <x v="22"/>
    <x v="0"/>
    <x v="8"/>
    <n v="43440"/>
    <n v="16"/>
  </r>
  <r>
    <x v="22"/>
    <x v="0"/>
    <x v="6"/>
    <n v="27990"/>
    <n v="6"/>
  </r>
  <r>
    <x v="23"/>
    <x v="14"/>
    <x v="4"/>
    <n v="54223"/>
    <n v="13"/>
  </r>
  <r>
    <x v="23"/>
    <x v="14"/>
    <x v="0"/>
    <n v="48583"/>
    <n v="19"/>
  </r>
  <r>
    <x v="23"/>
    <x v="14"/>
    <x v="4"/>
    <n v="32626"/>
    <n v="11"/>
  </r>
  <r>
    <x v="23"/>
    <x v="14"/>
    <x v="6"/>
    <n v="704"/>
    <n v="2"/>
  </r>
  <r>
    <x v="23"/>
    <x v="14"/>
    <x v="4"/>
    <n v="49420"/>
    <n v="14"/>
  </r>
  <r>
    <x v="23"/>
    <x v="14"/>
    <x v="7"/>
    <n v="29380"/>
    <n v="20"/>
  </r>
  <r>
    <x v="23"/>
    <x v="14"/>
    <x v="0"/>
    <n v="74200"/>
    <n v="20"/>
  </r>
  <r>
    <x v="24"/>
    <x v="0"/>
    <x v="2"/>
    <n v="9119"/>
    <n v="11"/>
  </r>
  <r>
    <x v="24"/>
    <x v="0"/>
    <x v="9"/>
    <n v="10080"/>
    <n v="6"/>
  </r>
  <r>
    <x v="24"/>
    <x v="0"/>
    <x v="6"/>
    <n v="71262"/>
    <n v="18"/>
  </r>
  <r>
    <x v="24"/>
    <x v="0"/>
    <x v="2"/>
    <n v="32985"/>
    <n v="15"/>
  </r>
  <r>
    <x v="24"/>
    <x v="0"/>
    <x v="9"/>
    <n v="69020"/>
    <n v="20"/>
  </r>
  <r>
    <x v="24"/>
    <x v="0"/>
    <x v="0"/>
    <n v="20160"/>
    <n v="20"/>
  </r>
  <r>
    <x v="25"/>
    <x v="2"/>
    <x v="3"/>
    <n v="40140"/>
    <n v="10"/>
  </r>
  <r>
    <x v="25"/>
    <x v="2"/>
    <x v="8"/>
    <n v="22960"/>
    <n v="8"/>
  </r>
  <r>
    <x v="25"/>
    <x v="2"/>
    <x v="5"/>
    <n v="4128"/>
    <n v="1"/>
  </r>
  <r>
    <x v="26"/>
    <x v="7"/>
    <x v="9"/>
    <n v="13846"/>
    <n v="14"/>
  </r>
  <r>
    <x v="26"/>
    <x v="7"/>
    <x v="8"/>
    <n v="18580"/>
    <n v="10"/>
  </r>
  <r>
    <x v="26"/>
    <x v="7"/>
    <x v="2"/>
    <n v="39249"/>
    <n v="9"/>
  </r>
  <r>
    <x v="26"/>
    <x v="7"/>
    <x v="3"/>
    <n v="2332"/>
    <n v="1"/>
  </r>
  <r>
    <x v="26"/>
    <x v="7"/>
    <x v="5"/>
    <n v="5104"/>
    <n v="11"/>
  </r>
  <r>
    <x v="26"/>
    <x v="7"/>
    <x v="9"/>
    <n v="29621"/>
    <n v="19"/>
  </r>
  <r>
    <x v="26"/>
    <x v="7"/>
    <x v="0"/>
    <n v="20712"/>
    <n v="12"/>
  </r>
  <r>
    <x v="26"/>
    <x v="7"/>
    <x v="2"/>
    <n v="39767"/>
    <n v="19"/>
  </r>
  <r>
    <x v="26"/>
    <x v="7"/>
    <x v="5"/>
    <n v="58604"/>
    <n v="13"/>
  </r>
  <r>
    <x v="26"/>
    <x v="7"/>
    <x v="0"/>
    <n v="21800"/>
    <n v="5"/>
  </r>
  <r>
    <x v="27"/>
    <x v="4"/>
    <x v="3"/>
    <n v="25864"/>
    <n v="8"/>
  </r>
  <r>
    <x v="27"/>
    <x v="4"/>
    <x v="0"/>
    <n v="10962"/>
    <n v="6"/>
  </r>
  <r>
    <x v="28"/>
    <x v="0"/>
    <x v="3"/>
    <n v="4262"/>
    <n v="1"/>
  </r>
  <r>
    <x v="28"/>
    <x v="0"/>
    <x v="9"/>
    <n v="47682"/>
    <n v="18"/>
  </r>
  <r>
    <x v="28"/>
    <x v="0"/>
    <x v="3"/>
    <n v="13350"/>
    <n v="6"/>
  </r>
  <r>
    <x v="28"/>
    <x v="0"/>
    <x v="9"/>
    <n v="7910"/>
    <n v="14"/>
  </r>
  <r>
    <x v="28"/>
    <x v="0"/>
    <x v="8"/>
    <n v="35385"/>
    <n v="15"/>
  </r>
  <r>
    <x v="28"/>
    <x v="0"/>
    <x v="9"/>
    <n v="9720"/>
    <n v="15"/>
  </r>
  <r>
    <x v="28"/>
    <x v="0"/>
    <x v="2"/>
    <n v="10129"/>
    <n v="7"/>
  </r>
  <r>
    <x v="28"/>
    <x v="0"/>
    <x v="2"/>
    <n v="48125"/>
    <n v="11"/>
  </r>
  <r>
    <x v="28"/>
    <x v="0"/>
    <x v="6"/>
    <n v="70960"/>
    <n v="16"/>
  </r>
  <r>
    <x v="29"/>
    <x v="3"/>
    <x v="0"/>
    <n v="3172"/>
    <n v="4"/>
  </r>
  <r>
    <x v="29"/>
    <x v="3"/>
    <x v="8"/>
    <n v="15120"/>
    <n v="20"/>
  </r>
  <r>
    <x v="29"/>
    <x v="3"/>
    <x v="7"/>
    <n v="22500"/>
    <n v="12"/>
  </r>
  <r>
    <x v="29"/>
    <x v="3"/>
    <x v="9"/>
    <n v="54192"/>
    <n v="16"/>
  </r>
  <r>
    <x v="29"/>
    <x v="3"/>
    <x v="4"/>
    <n v="13488"/>
    <n v="8"/>
  </r>
  <r>
    <x v="29"/>
    <x v="3"/>
    <x v="8"/>
    <n v="2570"/>
    <n v="5"/>
  </r>
  <r>
    <x v="29"/>
    <x v="3"/>
    <x v="0"/>
    <n v="70740"/>
    <n v="18"/>
  </r>
  <r>
    <x v="30"/>
    <x v="4"/>
    <x v="4"/>
    <n v="5004"/>
    <n v="3"/>
  </r>
  <r>
    <x v="30"/>
    <x v="4"/>
    <x v="0"/>
    <n v="6816"/>
    <n v="8"/>
  </r>
  <r>
    <x v="30"/>
    <x v="4"/>
    <x v="2"/>
    <n v="17073"/>
    <n v="7"/>
  </r>
  <r>
    <x v="30"/>
    <x v="4"/>
    <x v="6"/>
    <n v="5440"/>
    <n v="4"/>
  </r>
  <r>
    <x v="30"/>
    <x v="4"/>
    <x v="3"/>
    <n v="79984"/>
    <n v="16"/>
  </r>
  <r>
    <x v="30"/>
    <x v="4"/>
    <x v="3"/>
    <n v="2037"/>
    <n v="3"/>
  </r>
  <r>
    <x v="30"/>
    <x v="4"/>
    <x v="5"/>
    <n v="27678"/>
    <n v="6"/>
  </r>
  <r>
    <x v="31"/>
    <x v="3"/>
    <x v="2"/>
    <n v="6732"/>
    <n v="2"/>
  </r>
  <r>
    <x v="31"/>
    <x v="3"/>
    <x v="3"/>
    <n v="41840"/>
    <n v="20"/>
  </r>
  <r>
    <x v="31"/>
    <x v="3"/>
    <x v="0"/>
    <n v="16611"/>
    <n v="7"/>
  </r>
  <r>
    <x v="31"/>
    <x v="3"/>
    <x v="2"/>
    <n v="53955"/>
    <n v="15"/>
  </r>
  <r>
    <x v="31"/>
    <x v="3"/>
    <x v="1"/>
    <n v="38110"/>
    <n v="10"/>
  </r>
  <r>
    <x v="32"/>
    <x v="3"/>
    <x v="4"/>
    <n v="18576"/>
    <n v="6"/>
  </r>
  <r>
    <x v="32"/>
    <x v="3"/>
    <x v="4"/>
    <n v="53736"/>
    <n v="12"/>
  </r>
  <r>
    <x v="32"/>
    <x v="3"/>
    <x v="5"/>
    <n v="52940"/>
    <n v="20"/>
  </r>
  <r>
    <x v="32"/>
    <x v="3"/>
    <x v="2"/>
    <n v="78217"/>
    <n v="17"/>
  </r>
  <r>
    <x v="32"/>
    <x v="3"/>
    <x v="6"/>
    <n v="15440"/>
    <n v="20"/>
  </r>
  <r>
    <x v="33"/>
    <x v="0"/>
    <x v="6"/>
    <n v="39936"/>
    <n v="8"/>
  </r>
  <r>
    <x v="33"/>
    <x v="0"/>
    <x v="3"/>
    <n v="9392"/>
    <n v="4"/>
  </r>
  <r>
    <x v="33"/>
    <x v="0"/>
    <x v="2"/>
    <n v="33642"/>
    <n v="7"/>
  </r>
  <r>
    <x v="33"/>
    <x v="0"/>
    <x v="2"/>
    <n v="29799"/>
    <n v="7"/>
  </r>
  <r>
    <x v="33"/>
    <x v="0"/>
    <x v="2"/>
    <n v="38836"/>
    <n v="19"/>
  </r>
  <r>
    <x v="34"/>
    <x v="15"/>
    <x v="4"/>
    <n v="82110"/>
    <n v="17"/>
  </r>
  <r>
    <x v="34"/>
    <x v="15"/>
    <x v="8"/>
    <n v="29648"/>
    <n v="16"/>
  </r>
  <r>
    <x v="34"/>
    <x v="15"/>
    <x v="8"/>
    <n v="22872"/>
    <n v="6"/>
  </r>
  <r>
    <x v="34"/>
    <x v="15"/>
    <x v="7"/>
    <n v="68580"/>
    <n v="15"/>
  </r>
  <r>
    <x v="34"/>
    <x v="15"/>
    <x v="3"/>
    <n v="74540"/>
    <n v="20"/>
  </r>
  <r>
    <x v="35"/>
    <x v="3"/>
    <x v="7"/>
    <n v="5022"/>
    <n v="6"/>
  </r>
  <r>
    <x v="35"/>
    <x v="3"/>
    <x v="3"/>
    <n v="41094"/>
    <n v="18"/>
  </r>
  <r>
    <x v="35"/>
    <x v="3"/>
    <x v="9"/>
    <n v="2178"/>
    <n v="9"/>
  </r>
  <r>
    <x v="35"/>
    <x v="3"/>
    <x v="5"/>
    <n v="3620"/>
    <n v="2"/>
  </r>
  <r>
    <x v="35"/>
    <x v="3"/>
    <x v="8"/>
    <n v="19695"/>
    <n v="13"/>
  </r>
  <r>
    <x v="36"/>
    <x v="16"/>
    <x v="7"/>
    <n v="1584"/>
    <n v="1"/>
  </r>
  <r>
    <x v="36"/>
    <x v="16"/>
    <x v="1"/>
    <n v="22768"/>
    <n v="8"/>
  </r>
  <r>
    <x v="36"/>
    <x v="16"/>
    <x v="5"/>
    <n v="841"/>
    <n v="1"/>
  </r>
  <r>
    <x v="36"/>
    <x v="16"/>
    <x v="3"/>
    <n v="14112"/>
    <n v="14"/>
  </r>
  <r>
    <x v="37"/>
    <x v="1"/>
    <x v="0"/>
    <n v="20539"/>
    <n v="19"/>
  </r>
  <r>
    <x v="37"/>
    <x v="1"/>
    <x v="9"/>
    <n v="1840"/>
    <n v="5"/>
  </r>
  <r>
    <x v="37"/>
    <x v="1"/>
    <x v="5"/>
    <n v="18528"/>
    <n v="8"/>
  </r>
  <r>
    <x v="37"/>
    <x v="1"/>
    <x v="9"/>
    <n v="40781"/>
    <n v="13"/>
  </r>
  <r>
    <x v="37"/>
    <x v="1"/>
    <x v="3"/>
    <n v="16112"/>
    <n v="16"/>
  </r>
  <r>
    <x v="37"/>
    <x v="1"/>
    <x v="0"/>
    <n v="26946"/>
    <n v="6"/>
  </r>
  <r>
    <x v="38"/>
    <x v="17"/>
    <x v="1"/>
    <n v="6246"/>
    <n v="3"/>
  </r>
  <r>
    <x v="38"/>
    <x v="17"/>
    <x v="4"/>
    <n v="79800"/>
    <n v="19"/>
  </r>
  <r>
    <x v="38"/>
    <x v="17"/>
    <x v="6"/>
    <n v="33232"/>
    <n v="8"/>
  </r>
  <r>
    <x v="38"/>
    <x v="17"/>
    <x v="1"/>
    <n v="2904"/>
    <n v="12"/>
  </r>
  <r>
    <x v="38"/>
    <x v="17"/>
    <x v="3"/>
    <n v="41760"/>
    <n v="10"/>
  </r>
  <r>
    <x v="38"/>
    <x v="17"/>
    <x v="4"/>
    <n v="2441"/>
    <n v="1"/>
  </r>
  <r>
    <x v="38"/>
    <x v="17"/>
    <x v="2"/>
    <n v="76032"/>
    <n v="18"/>
  </r>
  <r>
    <x v="38"/>
    <x v="17"/>
    <x v="4"/>
    <n v="33952"/>
    <n v="8"/>
  </r>
  <r>
    <x v="38"/>
    <x v="17"/>
    <x v="7"/>
    <n v="61040"/>
    <n v="20"/>
  </r>
  <r>
    <x v="38"/>
    <x v="17"/>
    <x v="9"/>
    <n v="1510"/>
    <n v="5"/>
  </r>
  <r>
    <x v="39"/>
    <x v="7"/>
    <x v="4"/>
    <n v="11916"/>
    <n v="9"/>
  </r>
  <r>
    <x v="39"/>
    <x v="7"/>
    <x v="7"/>
    <n v="13500"/>
    <n v="10"/>
  </r>
  <r>
    <x v="39"/>
    <x v="7"/>
    <x v="9"/>
    <n v="4150"/>
    <n v="5"/>
  </r>
  <r>
    <x v="39"/>
    <x v="7"/>
    <x v="3"/>
    <n v="988"/>
    <n v="4"/>
  </r>
  <r>
    <x v="39"/>
    <x v="7"/>
    <x v="4"/>
    <n v="60073"/>
    <n v="13"/>
  </r>
  <r>
    <x v="40"/>
    <x v="1"/>
    <x v="1"/>
    <n v="37610"/>
    <n v="10"/>
  </r>
  <r>
    <x v="40"/>
    <x v="1"/>
    <x v="5"/>
    <n v="62475"/>
    <n v="17"/>
  </r>
  <r>
    <x v="40"/>
    <x v="1"/>
    <x v="8"/>
    <n v="40460"/>
    <n v="10"/>
  </r>
  <r>
    <x v="40"/>
    <x v="1"/>
    <x v="4"/>
    <n v="16828"/>
    <n v="7"/>
  </r>
  <r>
    <x v="40"/>
    <x v="1"/>
    <x v="9"/>
    <n v="56460"/>
    <n v="15"/>
  </r>
  <r>
    <x v="40"/>
    <x v="1"/>
    <x v="2"/>
    <n v="6456"/>
    <n v="8"/>
  </r>
  <r>
    <x v="41"/>
    <x v="18"/>
    <x v="0"/>
    <n v="34816"/>
    <n v="17"/>
  </r>
  <r>
    <x v="41"/>
    <x v="18"/>
    <x v="3"/>
    <n v="1368"/>
    <n v="3"/>
  </r>
  <r>
    <x v="41"/>
    <x v="18"/>
    <x v="6"/>
    <n v="23576"/>
    <n v="14"/>
  </r>
  <r>
    <x v="41"/>
    <x v="18"/>
    <x v="6"/>
    <n v="71200"/>
    <n v="16"/>
  </r>
  <r>
    <x v="41"/>
    <x v="18"/>
    <x v="4"/>
    <n v="27950"/>
    <n v="13"/>
  </r>
  <r>
    <x v="41"/>
    <x v="18"/>
    <x v="4"/>
    <n v="29408"/>
    <n v="16"/>
  </r>
  <r>
    <x v="42"/>
    <x v="13"/>
    <x v="7"/>
    <n v="3386"/>
    <n v="1"/>
  </r>
  <r>
    <x v="42"/>
    <x v="13"/>
    <x v="3"/>
    <n v="38448"/>
    <n v="12"/>
  </r>
  <r>
    <x v="42"/>
    <x v="13"/>
    <x v="9"/>
    <n v="11872"/>
    <n v="16"/>
  </r>
  <r>
    <x v="42"/>
    <x v="13"/>
    <x v="1"/>
    <n v="68833"/>
    <n v="17"/>
  </r>
  <r>
    <x v="42"/>
    <x v="13"/>
    <x v="0"/>
    <n v="14544"/>
    <n v="4"/>
  </r>
  <r>
    <x v="42"/>
    <x v="13"/>
    <x v="9"/>
    <n v="8010"/>
    <n v="9"/>
  </r>
  <r>
    <x v="42"/>
    <x v="13"/>
    <x v="3"/>
    <n v="18075"/>
    <n v="15"/>
  </r>
  <r>
    <x v="42"/>
    <x v="13"/>
    <x v="1"/>
    <n v="11536"/>
    <n v="4"/>
  </r>
  <r>
    <x v="42"/>
    <x v="13"/>
    <x v="6"/>
    <n v="3596"/>
    <n v="4"/>
  </r>
  <r>
    <x v="42"/>
    <x v="13"/>
    <x v="2"/>
    <n v="2630"/>
    <n v="1"/>
  </r>
  <r>
    <x v="42"/>
    <x v="13"/>
    <x v="1"/>
    <n v="35205"/>
    <n v="15"/>
  </r>
  <r>
    <x v="43"/>
    <x v="1"/>
    <x v="4"/>
    <n v="6440"/>
    <n v="8"/>
  </r>
  <r>
    <x v="43"/>
    <x v="1"/>
    <x v="6"/>
    <n v="59175"/>
    <n v="15"/>
  </r>
  <r>
    <x v="43"/>
    <x v="1"/>
    <x v="5"/>
    <n v="39197"/>
    <n v="19"/>
  </r>
  <r>
    <x v="43"/>
    <x v="1"/>
    <x v="0"/>
    <n v="14735"/>
    <n v="5"/>
  </r>
  <r>
    <x v="43"/>
    <x v="1"/>
    <x v="5"/>
    <n v="2002"/>
    <n v="7"/>
  </r>
  <r>
    <x v="43"/>
    <x v="1"/>
    <x v="6"/>
    <n v="22152"/>
    <n v="13"/>
  </r>
  <r>
    <x v="43"/>
    <x v="1"/>
    <x v="0"/>
    <n v="53865"/>
    <n v="19"/>
  </r>
  <r>
    <x v="43"/>
    <x v="1"/>
    <x v="7"/>
    <n v="57582"/>
    <n v="14"/>
  </r>
  <r>
    <x v="44"/>
    <x v="0"/>
    <x v="9"/>
    <n v="69472"/>
    <n v="16"/>
  </r>
  <r>
    <x v="44"/>
    <x v="0"/>
    <x v="3"/>
    <n v="6766"/>
    <n v="17"/>
  </r>
  <r>
    <x v="44"/>
    <x v="0"/>
    <x v="3"/>
    <n v="70500"/>
    <n v="20"/>
  </r>
  <r>
    <x v="44"/>
    <x v="0"/>
    <x v="7"/>
    <n v="33422"/>
    <n v="17"/>
  </r>
  <r>
    <x v="44"/>
    <x v="0"/>
    <x v="3"/>
    <n v="25600"/>
    <n v="16"/>
  </r>
  <r>
    <x v="44"/>
    <x v="0"/>
    <x v="3"/>
    <n v="25263"/>
    <n v="7"/>
  </r>
  <r>
    <x v="44"/>
    <x v="0"/>
    <x v="1"/>
    <n v="11730"/>
    <n v="3"/>
  </r>
  <r>
    <x v="44"/>
    <x v="0"/>
    <x v="7"/>
    <n v="81940"/>
    <n v="17"/>
  </r>
  <r>
    <x v="44"/>
    <x v="0"/>
    <x v="0"/>
    <n v="19122"/>
    <n v="6"/>
  </r>
  <r>
    <x v="45"/>
    <x v="19"/>
    <x v="6"/>
    <n v="12972"/>
    <n v="12"/>
  </r>
  <r>
    <x v="45"/>
    <x v="19"/>
    <x v="9"/>
    <n v="2390"/>
    <n v="2"/>
  </r>
  <r>
    <x v="45"/>
    <x v="19"/>
    <x v="2"/>
    <n v="39380"/>
    <n v="10"/>
  </r>
  <r>
    <x v="45"/>
    <x v="19"/>
    <x v="6"/>
    <n v="36936"/>
    <n v="18"/>
  </r>
  <r>
    <x v="45"/>
    <x v="19"/>
    <x v="9"/>
    <n v="16002"/>
    <n v="14"/>
  </r>
  <r>
    <x v="46"/>
    <x v="19"/>
    <x v="9"/>
    <n v="17721"/>
    <n v="9"/>
  </r>
  <r>
    <x v="46"/>
    <x v="19"/>
    <x v="1"/>
    <n v="4185"/>
    <n v="3"/>
  </r>
  <r>
    <x v="46"/>
    <x v="19"/>
    <x v="6"/>
    <n v="17924"/>
    <n v="4"/>
  </r>
  <r>
    <x v="46"/>
    <x v="19"/>
    <x v="0"/>
    <n v="74415"/>
    <n v="15"/>
  </r>
  <r>
    <x v="46"/>
    <x v="19"/>
    <x v="0"/>
    <n v="29988"/>
    <n v="7"/>
  </r>
  <r>
    <x v="46"/>
    <x v="19"/>
    <x v="8"/>
    <n v="61938"/>
    <n v="18"/>
  </r>
  <r>
    <x v="46"/>
    <x v="19"/>
    <x v="1"/>
    <n v="4027"/>
    <n v="1"/>
  </r>
  <r>
    <x v="47"/>
    <x v="12"/>
    <x v="2"/>
    <n v="28824"/>
    <n v="12"/>
  </r>
  <r>
    <x v="47"/>
    <x v="12"/>
    <x v="4"/>
    <n v="17001"/>
    <n v="9"/>
  </r>
  <r>
    <x v="47"/>
    <x v="12"/>
    <x v="1"/>
    <n v="13344"/>
    <n v="12"/>
  </r>
  <r>
    <x v="47"/>
    <x v="12"/>
    <x v="5"/>
    <n v="8127"/>
    <n v="9"/>
  </r>
  <r>
    <x v="47"/>
    <x v="12"/>
    <x v="7"/>
    <n v="27120"/>
    <n v="10"/>
  </r>
  <r>
    <x v="47"/>
    <x v="12"/>
    <x v="6"/>
    <n v="8910"/>
    <n v="9"/>
  </r>
  <r>
    <x v="47"/>
    <x v="12"/>
    <x v="8"/>
    <n v="20993"/>
    <n v="7"/>
  </r>
  <r>
    <x v="47"/>
    <x v="12"/>
    <x v="0"/>
    <n v="3180"/>
    <n v="12"/>
  </r>
  <r>
    <x v="47"/>
    <x v="12"/>
    <x v="2"/>
    <n v="48726"/>
    <n v="18"/>
  </r>
  <r>
    <x v="47"/>
    <x v="12"/>
    <x v="5"/>
    <n v="14966"/>
    <n v="1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00">
  <r>
    <s v="Agra"/>
    <x v="0"/>
    <x v="0"/>
    <n v="46420"/>
    <n v="14"/>
  </r>
  <r>
    <s v="Agra"/>
    <x v="0"/>
    <x v="1"/>
    <n v="71892"/>
    <n v="18"/>
  </r>
  <r>
    <s v="Agra"/>
    <x v="0"/>
    <x v="2"/>
    <n v="78380"/>
    <n v="20"/>
  </r>
  <r>
    <s v="Agra"/>
    <x v="0"/>
    <x v="1"/>
    <n v="14432"/>
    <n v="11"/>
  </r>
  <r>
    <s v="Ahmedabad"/>
    <x v="1"/>
    <x v="0"/>
    <n v="18604"/>
    <n v="4"/>
  </r>
  <r>
    <s v="Ahmedabad"/>
    <x v="1"/>
    <x v="3"/>
    <n v="28340"/>
    <n v="13"/>
  </r>
  <r>
    <s v="Ahmedabad"/>
    <x v="1"/>
    <x v="0"/>
    <n v="27132"/>
    <n v="7"/>
  </r>
  <r>
    <s v="Ahmedabad"/>
    <x v="1"/>
    <x v="2"/>
    <n v="34105"/>
    <n v="19"/>
  </r>
  <r>
    <s v="Ahmedabad"/>
    <x v="1"/>
    <x v="4"/>
    <n v="9324"/>
    <n v="3"/>
  </r>
  <r>
    <s v="Ahmedabad"/>
    <x v="1"/>
    <x v="5"/>
    <n v="16176"/>
    <n v="16"/>
  </r>
  <r>
    <s v="Ahmedabad"/>
    <x v="1"/>
    <x v="2"/>
    <n v="68799"/>
    <n v="19"/>
  </r>
  <r>
    <s v="Amritsar"/>
    <x v="2"/>
    <x v="5"/>
    <n v="78810"/>
    <n v="18"/>
  </r>
  <r>
    <s v="Amritsar"/>
    <x v="2"/>
    <x v="2"/>
    <n v="9264"/>
    <n v="3"/>
  </r>
  <r>
    <s v="Aurangabad"/>
    <x v="3"/>
    <x v="2"/>
    <n v="16450"/>
    <n v="10"/>
  </r>
  <r>
    <s v="Aurangabad"/>
    <x v="3"/>
    <x v="5"/>
    <n v="20688"/>
    <n v="18"/>
  </r>
  <r>
    <s v="Aurangabad"/>
    <x v="3"/>
    <x v="0"/>
    <n v="44550"/>
    <n v="9"/>
  </r>
  <r>
    <s v="Bareilly"/>
    <x v="0"/>
    <x v="4"/>
    <n v="19672"/>
    <n v="4"/>
  </r>
  <r>
    <s v="Bareilly"/>
    <x v="0"/>
    <x v="3"/>
    <n v="58949"/>
    <n v="19"/>
  </r>
  <r>
    <s v="Bareilly"/>
    <x v="0"/>
    <x v="6"/>
    <n v="14880"/>
    <n v="12"/>
  </r>
  <r>
    <s v="Bareilly"/>
    <x v="0"/>
    <x v="7"/>
    <n v="61470"/>
    <n v="18"/>
  </r>
  <r>
    <s v="Bengaluru"/>
    <x v="4"/>
    <x v="4"/>
    <n v="33774"/>
    <n v="23"/>
  </r>
  <r>
    <s v="Bengaluru"/>
    <x v="4"/>
    <x v="8"/>
    <n v="60571"/>
    <n v="17"/>
  </r>
  <r>
    <s v="Bengaluru"/>
    <x v="4"/>
    <x v="3"/>
    <n v="9748"/>
    <n v="6"/>
  </r>
  <r>
    <s v="Bengaluru"/>
    <x v="4"/>
    <x v="9"/>
    <n v="6540"/>
    <n v="15"/>
  </r>
  <r>
    <s v="Bengaluru"/>
    <x v="4"/>
    <x v="7"/>
    <n v="1208"/>
    <n v="4"/>
  </r>
  <r>
    <s v="Bengaluru"/>
    <x v="4"/>
    <x v="1"/>
    <n v="16764"/>
    <n v="6"/>
  </r>
  <r>
    <s v="Bengaluru"/>
    <x v="4"/>
    <x v="2"/>
    <n v="16812"/>
    <n v="12"/>
  </r>
  <r>
    <s v="Bengaluru"/>
    <x v="4"/>
    <x v="4"/>
    <n v="66890"/>
    <n v="20"/>
  </r>
  <r>
    <s v="Bengaluru"/>
    <x v="4"/>
    <x v="7"/>
    <n v="15533"/>
    <n v="7"/>
  </r>
  <r>
    <s v="Bengaluru"/>
    <x v="4"/>
    <x v="8"/>
    <n v="1731"/>
    <n v="1"/>
  </r>
  <r>
    <s v="Bengaluru"/>
    <x v="4"/>
    <x v="7"/>
    <n v="20592"/>
    <n v="13"/>
  </r>
  <r>
    <s v="Bhopal"/>
    <x v="5"/>
    <x v="3"/>
    <n v="64038"/>
    <n v="13"/>
  </r>
  <r>
    <s v="Bhopal"/>
    <x v="5"/>
    <x v="0"/>
    <n v="20655"/>
    <n v="15"/>
  </r>
  <r>
    <s v="Chandigarh"/>
    <x v="6"/>
    <x v="5"/>
    <n v="57470"/>
    <n v="14"/>
  </r>
  <r>
    <s v="Chandigarh"/>
    <x v="6"/>
    <x v="2"/>
    <n v="9321"/>
    <n v="3"/>
  </r>
  <r>
    <s v="Chandigarh"/>
    <x v="6"/>
    <x v="7"/>
    <n v="26460"/>
    <n v="9"/>
  </r>
  <r>
    <s v="Chandigarh"/>
    <x v="6"/>
    <x v="9"/>
    <n v="37972"/>
    <n v="11"/>
  </r>
  <r>
    <s v="Chandigarh"/>
    <x v="6"/>
    <x v="7"/>
    <n v="90840"/>
    <n v="20"/>
  </r>
  <r>
    <s v="Chennai"/>
    <x v="7"/>
    <x v="3"/>
    <n v="27172"/>
    <n v="18"/>
  </r>
  <r>
    <s v="Chennai"/>
    <x v="7"/>
    <x v="1"/>
    <n v="79764"/>
    <n v="17"/>
  </r>
  <r>
    <s v="Chennai"/>
    <x v="7"/>
    <x v="1"/>
    <n v="60128"/>
    <n v="16"/>
  </r>
  <r>
    <s v="Chennai"/>
    <x v="7"/>
    <x v="1"/>
    <n v="15540"/>
    <n v="5"/>
  </r>
  <r>
    <s v="Chennai"/>
    <x v="7"/>
    <x v="1"/>
    <n v="50141"/>
    <n v="19"/>
  </r>
  <r>
    <s v="Chennai"/>
    <x v="7"/>
    <x v="7"/>
    <n v="28800"/>
    <n v="16"/>
  </r>
  <r>
    <s v="Coimbatore"/>
    <x v="7"/>
    <x v="4"/>
    <n v="56797"/>
    <n v="13"/>
  </r>
  <r>
    <s v="Coimbatore"/>
    <x v="7"/>
    <x v="1"/>
    <n v="16800"/>
    <n v="7"/>
  </r>
  <r>
    <s v="Coimbatore"/>
    <x v="7"/>
    <x v="7"/>
    <n v="39344"/>
    <n v="16"/>
  </r>
  <r>
    <s v="Coimbatore"/>
    <x v="7"/>
    <x v="5"/>
    <n v="23430"/>
    <n v="6"/>
  </r>
  <r>
    <s v="Coimbatore"/>
    <x v="7"/>
    <x v="6"/>
    <n v="11040"/>
    <n v="5"/>
  </r>
  <r>
    <s v="Coimbatore"/>
    <x v="7"/>
    <x v="8"/>
    <n v="25857"/>
    <n v="17"/>
  </r>
  <r>
    <s v="Coimbatore"/>
    <x v="7"/>
    <x v="3"/>
    <n v="7695"/>
    <n v="15"/>
  </r>
  <r>
    <s v="Coimbatore"/>
    <x v="7"/>
    <x v="0"/>
    <n v="423"/>
    <n v="1"/>
  </r>
  <r>
    <s v="Dehradun"/>
    <x v="8"/>
    <x v="6"/>
    <n v="36652"/>
    <n v="11"/>
  </r>
  <r>
    <s v="Dehradun"/>
    <x v="8"/>
    <x v="3"/>
    <n v="28632"/>
    <n v="12"/>
  </r>
  <r>
    <s v="Dehradun"/>
    <x v="8"/>
    <x v="6"/>
    <n v="97480"/>
    <n v="20"/>
  </r>
  <r>
    <s v="Dehradun"/>
    <x v="8"/>
    <x v="5"/>
    <n v="50240"/>
    <n v="16"/>
  </r>
  <r>
    <s v="Dehradun"/>
    <x v="8"/>
    <x v="2"/>
    <n v="33328"/>
    <n v="16"/>
  </r>
  <r>
    <s v="Dehradun"/>
    <x v="8"/>
    <x v="8"/>
    <n v="17040"/>
    <n v="20"/>
  </r>
  <r>
    <s v="Dehradun"/>
    <x v="8"/>
    <x v="0"/>
    <n v="29920"/>
    <n v="11"/>
  </r>
  <r>
    <s v="Dehradun"/>
    <x v="8"/>
    <x v="0"/>
    <n v="20465"/>
    <n v="5"/>
  </r>
  <r>
    <s v="Dehradun"/>
    <x v="8"/>
    <x v="0"/>
    <n v="5814"/>
    <n v="6"/>
  </r>
  <r>
    <s v="Dehradun"/>
    <x v="8"/>
    <x v="7"/>
    <n v="19761"/>
    <n v="7"/>
  </r>
  <r>
    <s v="Dehradun"/>
    <x v="8"/>
    <x v="2"/>
    <n v="83771"/>
    <n v="19"/>
  </r>
  <r>
    <s v="Dehradun"/>
    <x v="8"/>
    <x v="7"/>
    <n v="27812"/>
    <n v="17"/>
  </r>
  <r>
    <s v="Delhi"/>
    <x v="9"/>
    <x v="3"/>
    <n v="24245"/>
    <n v="13"/>
  </r>
  <r>
    <s v="Delhi"/>
    <x v="9"/>
    <x v="4"/>
    <n v="16160"/>
    <n v="4"/>
  </r>
  <r>
    <s v="Delhi"/>
    <x v="9"/>
    <x v="2"/>
    <n v="7512"/>
    <n v="4"/>
  </r>
  <r>
    <s v="Delhi"/>
    <x v="9"/>
    <x v="6"/>
    <n v="2041"/>
    <n v="1"/>
  </r>
  <r>
    <s v="Delhi"/>
    <x v="9"/>
    <x v="9"/>
    <n v="58669"/>
    <n v="13"/>
  </r>
  <r>
    <s v="Delhi"/>
    <x v="9"/>
    <x v="9"/>
    <n v="7397"/>
    <n v="13"/>
  </r>
  <r>
    <s v="Faridabad"/>
    <x v="10"/>
    <x v="6"/>
    <n v="8384"/>
    <n v="4"/>
  </r>
  <r>
    <s v="Faridabad"/>
    <x v="10"/>
    <x v="8"/>
    <n v="25050"/>
    <n v="15"/>
  </r>
  <r>
    <s v="Faridabad"/>
    <x v="10"/>
    <x v="9"/>
    <n v="35865"/>
    <n v="9"/>
  </r>
  <r>
    <s v="Faridabad"/>
    <x v="10"/>
    <x v="6"/>
    <n v="72000"/>
    <n v="16"/>
  </r>
  <r>
    <s v="Faridabad"/>
    <x v="10"/>
    <x v="4"/>
    <n v="18056"/>
    <n v="8"/>
  </r>
  <r>
    <s v="Faridabad"/>
    <x v="10"/>
    <x v="4"/>
    <n v="9825"/>
    <n v="15"/>
  </r>
  <r>
    <s v="Faridabad"/>
    <x v="10"/>
    <x v="5"/>
    <n v="68886"/>
    <n v="18"/>
  </r>
  <r>
    <s v="Ghaziabad"/>
    <x v="0"/>
    <x v="4"/>
    <n v="64200"/>
    <n v="20"/>
  </r>
  <r>
    <s v="Ghaziabad"/>
    <x v="0"/>
    <x v="8"/>
    <n v="10565"/>
    <n v="5"/>
  </r>
  <r>
    <s v="Ghaziabad"/>
    <x v="0"/>
    <x v="3"/>
    <n v="6999"/>
    <n v="3"/>
  </r>
  <r>
    <s v="Ghaziabad"/>
    <x v="0"/>
    <x v="6"/>
    <n v="23256"/>
    <n v="8"/>
  </r>
  <r>
    <s v="Gurgaon"/>
    <x v="10"/>
    <x v="8"/>
    <n v="11958"/>
    <n v="3"/>
  </r>
  <r>
    <s v="Gurgaon"/>
    <x v="10"/>
    <x v="6"/>
    <n v="36036"/>
    <n v="13"/>
  </r>
  <r>
    <s v="Gurgaon"/>
    <x v="10"/>
    <x v="4"/>
    <n v="13360"/>
    <n v="5"/>
  </r>
  <r>
    <s v="Gurgaon"/>
    <x v="10"/>
    <x v="7"/>
    <n v="7310"/>
    <n v="5"/>
  </r>
  <r>
    <s v="Gurgaon"/>
    <x v="10"/>
    <x v="1"/>
    <n v="9600"/>
    <n v="2"/>
  </r>
  <r>
    <s v="Gurgaon"/>
    <x v="10"/>
    <x v="0"/>
    <n v="22491"/>
    <n v="7"/>
  </r>
  <r>
    <s v="Gurgaon"/>
    <x v="10"/>
    <x v="9"/>
    <n v="53985"/>
    <n v="15"/>
  </r>
  <r>
    <s v="Guwahati"/>
    <x v="11"/>
    <x v="1"/>
    <n v="15620"/>
    <n v="11"/>
  </r>
  <r>
    <s v="Guwahati"/>
    <x v="11"/>
    <x v="9"/>
    <n v="73692"/>
    <n v="18"/>
  </r>
  <r>
    <s v="Guwahati"/>
    <x v="11"/>
    <x v="7"/>
    <n v="18495"/>
    <n v="5"/>
  </r>
  <r>
    <s v="Guwahati"/>
    <x v="11"/>
    <x v="1"/>
    <n v="5287"/>
    <n v="17"/>
  </r>
  <r>
    <s v="Gwalior"/>
    <x v="5"/>
    <x v="0"/>
    <n v="62480"/>
    <n v="20"/>
  </r>
  <r>
    <s v="Gwalior"/>
    <x v="5"/>
    <x v="1"/>
    <n v="35503"/>
    <n v="13"/>
  </r>
  <r>
    <s v="Gwalior"/>
    <x v="5"/>
    <x v="0"/>
    <n v="32769"/>
    <n v="9"/>
  </r>
  <r>
    <s v="Gwalior"/>
    <x v="5"/>
    <x v="3"/>
    <n v="18165"/>
    <n v="15"/>
  </r>
  <r>
    <s v="Gwalior"/>
    <x v="5"/>
    <x v="1"/>
    <n v="18310"/>
    <n v="10"/>
  </r>
  <r>
    <s v="Hyderabad"/>
    <x v="12"/>
    <x v="3"/>
    <n v="10905"/>
    <n v="5"/>
  </r>
  <r>
    <s v="Hyderabad"/>
    <x v="12"/>
    <x v="0"/>
    <n v="23700"/>
    <n v="20"/>
  </r>
  <r>
    <s v="Hyderabad"/>
    <x v="12"/>
    <x v="1"/>
    <n v="36138"/>
    <n v="19"/>
  </r>
  <r>
    <s v="Hyderabad"/>
    <x v="12"/>
    <x v="6"/>
    <n v="4584"/>
    <n v="12"/>
  </r>
  <r>
    <s v="Indore"/>
    <x v="5"/>
    <x v="7"/>
    <n v="63798"/>
    <n v="14"/>
  </r>
  <r>
    <s v="Indore"/>
    <x v="5"/>
    <x v="5"/>
    <n v="35370"/>
    <n v="18"/>
  </r>
  <r>
    <s v="Indore"/>
    <x v="5"/>
    <x v="5"/>
    <n v="28098"/>
    <n v="18"/>
  </r>
  <r>
    <s v="Indore"/>
    <x v="5"/>
    <x v="5"/>
    <n v="68102"/>
    <n v="17"/>
  </r>
  <r>
    <s v="Indore"/>
    <x v="5"/>
    <x v="4"/>
    <n v="2545"/>
    <n v="1"/>
  </r>
  <r>
    <s v="Indore"/>
    <x v="5"/>
    <x v="1"/>
    <n v="36576"/>
    <n v="8"/>
  </r>
  <r>
    <s v="Indore"/>
    <x v="5"/>
    <x v="0"/>
    <n v="29326"/>
    <n v="11"/>
  </r>
  <r>
    <s v="Indore"/>
    <x v="5"/>
    <x v="9"/>
    <n v="7680"/>
    <n v="16"/>
  </r>
  <r>
    <s v="Jabalpur"/>
    <x v="5"/>
    <x v="1"/>
    <n v="63225"/>
    <n v="15"/>
  </r>
  <r>
    <s v="Jabalpur"/>
    <x v="5"/>
    <x v="5"/>
    <n v="28690"/>
    <n v="10"/>
  </r>
  <r>
    <s v="Jabalpur"/>
    <x v="5"/>
    <x v="8"/>
    <n v="18000"/>
    <n v="16"/>
  </r>
  <r>
    <s v="Jabalpur"/>
    <x v="5"/>
    <x v="9"/>
    <n v="20420"/>
    <n v="10"/>
  </r>
  <r>
    <s v="Jabalpur"/>
    <x v="5"/>
    <x v="6"/>
    <n v="34140"/>
    <n v="20"/>
  </r>
  <r>
    <s v="Jabalpur"/>
    <x v="5"/>
    <x v="9"/>
    <n v="3602"/>
    <n v="1"/>
  </r>
  <r>
    <s v="Jaipur"/>
    <x v="13"/>
    <x v="8"/>
    <n v="64170"/>
    <n v="15"/>
  </r>
  <r>
    <s v="Jaipur"/>
    <x v="13"/>
    <x v="5"/>
    <n v="98280"/>
    <n v="20"/>
  </r>
  <r>
    <s v="Jaipur"/>
    <x v="13"/>
    <x v="8"/>
    <n v="61778"/>
    <n v="17"/>
  </r>
  <r>
    <s v="Jaipur"/>
    <x v="13"/>
    <x v="6"/>
    <n v="65873"/>
    <n v="19"/>
  </r>
  <r>
    <s v="Jaipur"/>
    <x v="13"/>
    <x v="4"/>
    <n v="6410"/>
    <n v="2"/>
  </r>
  <r>
    <s v="Jaipur"/>
    <x v="13"/>
    <x v="6"/>
    <n v="46200"/>
    <n v="14"/>
  </r>
  <r>
    <s v="Jodhpur"/>
    <x v="13"/>
    <x v="5"/>
    <n v="21091"/>
    <n v="7"/>
  </r>
  <r>
    <s v="Jodhpur"/>
    <x v="13"/>
    <x v="8"/>
    <n v="68528"/>
    <n v="16"/>
  </r>
  <r>
    <s v="Jodhpur"/>
    <x v="13"/>
    <x v="1"/>
    <n v="25068"/>
    <n v="12"/>
  </r>
  <r>
    <s v="Jodhpur"/>
    <x v="13"/>
    <x v="3"/>
    <n v="65325"/>
    <n v="15"/>
  </r>
  <r>
    <s v="Jodhpur"/>
    <x v="13"/>
    <x v="4"/>
    <n v="47826"/>
    <n v="18"/>
  </r>
  <r>
    <s v="Jodhpur"/>
    <x v="13"/>
    <x v="6"/>
    <n v="24843"/>
    <n v="7"/>
  </r>
  <r>
    <s v="Jodhpur"/>
    <x v="13"/>
    <x v="0"/>
    <n v="4480"/>
    <n v="8"/>
  </r>
  <r>
    <s v="Jodhpur"/>
    <x v="13"/>
    <x v="3"/>
    <n v="34176"/>
    <n v="12"/>
  </r>
  <r>
    <s v="Jodhpur"/>
    <x v="13"/>
    <x v="6"/>
    <n v="27280"/>
    <n v="20"/>
  </r>
  <r>
    <s v="Kanpur"/>
    <x v="0"/>
    <x v="3"/>
    <n v="12384"/>
    <n v="12"/>
  </r>
  <r>
    <s v="Kanpur"/>
    <x v="0"/>
    <x v="2"/>
    <n v="4476"/>
    <n v="6"/>
  </r>
  <r>
    <s v="Kanpur"/>
    <x v="0"/>
    <x v="7"/>
    <n v="8896"/>
    <n v="4"/>
  </r>
  <r>
    <s v="Kanpur"/>
    <x v="0"/>
    <x v="6"/>
    <n v="14620"/>
    <n v="17"/>
  </r>
  <r>
    <s v="Kanpur"/>
    <x v="0"/>
    <x v="2"/>
    <n v="1436"/>
    <n v="4"/>
  </r>
  <r>
    <s v="Kanpur"/>
    <x v="0"/>
    <x v="8"/>
    <n v="43440"/>
    <n v="16"/>
  </r>
  <r>
    <s v="Kanpur"/>
    <x v="0"/>
    <x v="6"/>
    <n v="27990"/>
    <n v="6"/>
  </r>
  <r>
    <s v="Kolkata"/>
    <x v="14"/>
    <x v="4"/>
    <n v="54223"/>
    <n v="13"/>
  </r>
  <r>
    <s v="Kolkata"/>
    <x v="14"/>
    <x v="0"/>
    <n v="48583"/>
    <n v="19"/>
  </r>
  <r>
    <s v="Kolkata"/>
    <x v="14"/>
    <x v="4"/>
    <n v="32626"/>
    <n v="11"/>
  </r>
  <r>
    <s v="Kolkata"/>
    <x v="14"/>
    <x v="6"/>
    <n v="704"/>
    <n v="2"/>
  </r>
  <r>
    <s v="Kolkata"/>
    <x v="14"/>
    <x v="4"/>
    <n v="49420"/>
    <n v="14"/>
  </r>
  <r>
    <s v="Kolkata"/>
    <x v="14"/>
    <x v="7"/>
    <n v="29380"/>
    <n v="20"/>
  </r>
  <r>
    <s v="Kolkata"/>
    <x v="14"/>
    <x v="0"/>
    <n v="74200"/>
    <n v="20"/>
  </r>
  <r>
    <s v="Lucknow"/>
    <x v="0"/>
    <x v="2"/>
    <n v="9119"/>
    <n v="11"/>
  </r>
  <r>
    <s v="Lucknow"/>
    <x v="0"/>
    <x v="9"/>
    <n v="10080"/>
    <n v="6"/>
  </r>
  <r>
    <s v="Lucknow"/>
    <x v="0"/>
    <x v="6"/>
    <n v="71262"/>
    <n v="18"/>
  </r>
  <r>
    <s v="Lucknow"/>
    <x v="0"/>
    <x v="2"/>
    <n v="32985"/>
    <n v="15"/>
  </r>
  <r>
    <s v="Lucknow"/>
    <x v="0"/>
    <x v="9"/>
    <n v="69020"/>
    <n v="20"/>
  </r>
  <r>
    <s v="Lucknow"/>
    <x v="0"/>
    <x v="0"/>
    <n v="20160"/>
    <n v="20"/>
  </r>
  <r>
    <s v="Ludhiana"/>
    <x v="2"/>
    <x v="3"/>
    <n v="40140"/>
    <n v="10"/>
  </r>
  <r>
    <s v="Ludhiana"/>
    <x v="2"/>
    <x v="8"/>
    <n v="22960"/>
    <n v="8"/>
  </r>
  <r>
    <s v="Ludhiana"/>
    <x v="2"/>
    <x v="5"/>
    <n v="4128"/>
    <n v="1"/>
  </r>
  <r>
    <s v="Madurai"/>
    <x v="7"/>
    <x v="9"/>
    <n v="13846"/>
    <n v="14"/>
  </r>
  <r>
    <s v="Madurai"/>
    <x v="7"/>
    <x v="8"/>
    <n v="18580"/>
    <n v="10"/>
  </r>
  <r>
    <s v="Madurai"/>
    <x v="7"/>
    <x v="2"/>
    <n v="39249"/>
    <n v="9"/>
  </r>
  <r>
    <s v="Madurai"/>
    <x v="7"/>
    <x v="3"/>
    <n v="2332"/>
    <n v="1"/>
  </r>
  <r>
    <s v="Madurai"/>
    <x v="7"/>
    <x v="5"/>
    <n v="5104"/>
    <n v="11"/>
  </r>
  <r>
    <s v="Madurai"/>
    <x v="7"/>
    <x v="9"/>
    <n v="29621"/>
    <n v="19"/>
  </r>
  <r>
    <s v="Madurai"/>
    <x v="7"/>
    <x v="0"/>
    <n v="20712"/>
    <n v="12"/>
  </r>
  <r>
    <s v="Madurai"/>
    <x v="7"/>
    <x v="2"/>
    <n v="39767"/>
    <n v="19"/>
  </r>
  <r>
    <s v="Madurai"/>
    <x v="7"/>
    <x v="5"/>
    <n v="58604"/>
    <n v="13"/>
  </r>
  <r>
    <s v="Madurai"/>
    <x v="7"/>
    <x v="0"/>
    <n v="21800"/>
    <n v="5"/>
  </r>
  <r>
    <s v="Mangalore"/>
    <x v="4"/>
    <x v="3"/>
    <n v="25864"/>
    <n v="8"/>
  </r>
  <r>
    <s v="Mangalore"/>
    <x v="4"/>
    <x v="0"/>
    <n v="10962"/>
    <n v="6"/>
  </r>
  <r>
    <s v="Meerut"/>
    <x v="0"/>
    <x v="3"/>
    <n v="4262"/>
    <n v="1"/>
  </r>
  <r>
    <s v="Meerut"/>
    <x v="0"/>
    <x v="9"/>
    <n v="47682"/>
    <n v="18"/>
  </r>
  <r>
    <s v="Meerut"/>
    <x v="0"/>
    <x v="3"/>
    <n v="13350"/>
    <n v="6"/>
  </r>
  <r>
    <s v="Meerut"/>
    <x v="0"/>
    <x v="9"/>
    <n v="7910"/>
    <n v="14"/>
  </r>
  <r>
    <s v="Meerut"/>
    <x v="0"/>
    <x v="8"/>
    <n v="35385"/>
    <n v="15"/>
  </r>
  <r>
    <s v="Meerut"/>
    <x v="0"/>
    <x v="9"/>
    <n v="9720"/>
    <n v="15"/>
  </r>
  <r>
    <s v="Meerut"/>
    <x v="0"/>
    <x v="2"/>
    <n v="10129"/>
    <n v="7"/>
  </r>
  <r>
    <s v="Meerut"/>
    <x v="0"/>
    <x v="2"/>
    <n v="48125"/>
    <n v="11"/>
  </r>
  <r>
    <s v="Meerut"/>
    <x v="0"/>
    <x v="6"/>
    <n v="70960"/>
    <n v="16"/>
  </r>
  <r>
    <s v="Mumbai"/>
    <x v="3"/>
    <x v="0"/>
    <n v="3172"/>
    <n v="4"/>
  </r>
  <r>
    <s v="Mumbai"/>
    <x v="3"/>
    <x v="8"/>
    <n v="15120"/>
    <n v="20"/>
  </r>
  <r>
    <s v="Mumbai"/>
    <x v="3"/>
    <x v="7"/>
    <n v="22500"/>
    <n v="12"/>
  </r>
  <r>
    <s v="Mumbai"/>
    <x v="3"/>
    <x v="9"/>
    <n v="54192"/>
    <n v="16"/>
  </r>
  <r>
    <s v="Mumbai"/>
    <x v="3"/>
    <x v="4"/>
    <n v="13488"/>
    <n v="8"/>
  </r>
  <r>
    <s v="Mumbai"/>
    <x v="3"/>
    <x v="8"/>
    <n v="2570"/>
    <n v="5"/>
  </r>
  <r>
    <s v="Mumbai"/>
    <x v="3"/>
    <x v="0"/>
    <n v="70740"/>
    <n v="18"/>
  </r>
  <r>
    <s v="Mysuru"/>
    <x v="4"/>
    <x v="4"/>
    <n v="5004"/>
    <n v="3"/>
  </r>
  <r>
    <s v="Mysuru"/>
    <x v="4"/>
    <x v="0"/>
    <n v="6816"/>
    <n v="8"/>
  </r>
  <r>
    <s v="Mysuru"/>
    <x v="4"/>
    <x v="2"/>
    <n v="17073"/>
    <n v="7"/>
  </r>
  <r>
    <s v="Mysuru"/>
    <x v="4"/>
    <x v="6"/>
    <n v="5440"/>
    <n v="4"/>
  </r>
  <r>
    <s v="Mysuru"/>
    <x v="4"/>
    <x v="3"/>
    <n v="79984"/>
    <n v="16"/>
  </r>
  <r>
    <s v="Mysuru"/>
    <x v="4"/>
    <x v="3"/>
    <n v="2037"/>
    <n v="3"/>
  </r>
  <r>
    <s v="Mysuru"/>
    <x v="4"/>
    <x v="5"/>
    <n v="27678"/>
    <n v="6"/>
  </r>
  <r>
    <s v="Nagpur"/>
    <x v="3"/>
    <x v="2"/>
    <n v="6732"/>
    <n v="2"/>
  </r>
  <r>
    <s v="Nagpur"/>
    <x v="3"/>
    <x v="3"/>
    <n v="41840"/>
    <n v="20"/>
  </r>
  <r>
    <s v="Nagpur"/>
    <x v="3"/>
    <x v="0"/>
    <n v="16611"/>
    <n v="7"/>
  </r>
  <r>
    <s v="Nagpur"/>
    <x v="3"/>
    <x v="2"/>
    <n v="53955"/>
    <n v="15"/>
  </r>
  <r>
    <s v="Nagpur"/>
    <x v="3"/>
    <x v="1"/>
    <n v="38110"/>
    <n v="10"/>
  </r>
  <r>
    <s v="Nashik"/>
    <x v="3"/>
    <x v="4"/>
    <n v="18576"/>
    <n v="6"/>
  </r>
  <r>
    <s v="Nashik"/>
    <x v="3"/>
    <x v="4"/>
    <n v="53736"/>
    <n v="12"/>
  </r>
  <r>
    <s v="Nashik"/>
    <x v="3"/>
    <x v="5"/>
    <n v="52940"/>
    <n v="20"/>
  </r>
  <r>
    <s v="Nashik"/>
    <x v="3"/>
    <x v="2"/>
    <n v="78217"/>
    <n v="17"/>
  </r>
  <r>
    <s v="Nashik"/>
    <x v="3"/>
    <x v="6"/>
    <n v="15440"/>
    <n v="20"/>
  </r>
  <r>
    <s v="Noida"/>
    <x v="0"/>
    <x v="6"/>
    <n v="39936"/>
    <n v="8"/>
  </r>
  <r>
    <s v="Noida"/>
    <x v="0"/>
    <x v="3"/>
    <n v="9392"/>
    <n v="4"/>
  </r>
  <r>
    <s v="Noida"/>
    <x v="0"/>
    <x v="2"/>
    <n v="33642"/>
    <n v="7"/>
  </r>
  <r>
    <s v="Noida"/>
    <x v="0"/>
    <x v="2"/>
    <n v="29799"/>
    <n v="7"/>
  </r>
  <r>
    <s v="Noida"/>
    <x v="0"/>
    <x v="2"/>
    <n v="38836"/>
    <n v="19"/>
  </r>
  <r>
    <s v="Patna"/>
    <x v="15"/>
    <x v="4"/>
    <n v="82110"/>
    <n v="17"/>
  </r>
  <r>
    <s v="Patna"/>
    <x v="15"/>
    <x v="8"/>
    <n v="29648"/>
    <n v="16"/>
  </r>
  <r>
    <s v="Patna"/>
    <x v="15"/>
    <x v="8"/>
    <n v="22872"/>
    <n v="6"/>
  </r>
  <r>
    <s v="Patna"/>
    <x v="15"/>
    <x v="7"/>
    <n v="68580"/>
    <n v="15"/>
  </r>
  <r>
    <s v="Patna"/>
    <x v="15"/>
    <x v="3"/>
    <n v="74540"/>
    <n v="20"/>
  </r>
  <r>
    <s v="Pune"/>
    <x v="3"/>
    <x v="7"/>
    <n v="5022"/>
    <n v="6"/>
  </r>
  <r>
    <s v="Pune"/>
    <x v="3"/>
    <x v="3"/>
    <n v="41094"/>
    <n v="18"/>
  </r>
  <r>
    <s v="Pune"/>
    <x v="3"/>
    <x v="9"/>
    <n v="2178"/>
    <n v="9"/>
  </r>
  <r>
    <s v="Pune"/>
    <x v="3"/>
    <x v="5"/>
    <n v="3620"/>
    <n v="2"/>
  </r>
  <r>
    <s v="Pune"/>
    <x v="3"/>
    <x v="8"/>
    <n v="19695"/>
    <n v="13"/>
  </r>
  <r>
    <s v="Raipur"/>
    <x v="16"/>
    <x v="7"/>
    <n v="1584"/>
    <n v="1"/>
  </r>
  <r>
    <s v="Raipur"/>
    <x v="16"/>
    <x v="1"/>
    <n v="22768"/>
    <n v="8"/>
  </r>
  <r>
    <s v="Raipur"/>
    <x v="16"/>
    <x v="5"/>
    <n v="841"/>
    <n v="1"/>
  </r>
  <r>
    <s v="Raipur"/>
    <x v="16"/>
    <x v="3"/>
    <n v="14112"/>
    <n v="14"/>
  </r>
  <r>
    <s v="Rajkot"/>
    <x v="1"/>
    <x v="0"/>
    <n v="20539"/>
    <n v="19"/>
  </r>
  <r>
    <s v="Rajkot"/>
    <x v="1"/>
    <x v="9"/>
    <n v="1840"/>
    <n v="5"/>
  </r>
  <r>
    <s v="Rajkot"/>
    <x v="1"/>
    <x v="5"/>
    <n v="18528"/>
    <n v="8"/>
  </r>
  <r>
    <s v="Rajkot"/>
    <x v="1"/>
    <x v="9"/>
    <n v="40781"/>
    <n v="13"/>
  </r>
  <r>
    <s v="Rajkot"/>
    <x v="1"/>
    <x v="3"/>
    <n v="16112"/>
    <n v="16"/>
  </r>
  <r>
    <s v="Rajkot"/>
    <x v="1"/>
    <x v="0"/>
    <n v="26946"/>
    <n v="6"/>
  </r>
  <r>
    <s v="Ranchi"/>
    <x v="17"/>
    <x v="1"/>
    <n v="6246"/>
    <n v="3"/>
  </r>
  <r>
    <s v="Ranchi"/>
    <x v="17"/>
    <x v="4"/>
    <n v="79800"/>
    <n v="19"/>
  </r>
  <r>
    <s v="Ranchi"/>
    <x v="17"/>
    <x v="6"/>
    <n v="33232"/>
    <n v="8"/>
  </r>
  <r>
    <s v="Ranchi"/>
    <x v="17"/>
    <x v="1"/>
    <n v="2904"/>
    <n v="12"/>
  </r>
  <r>
    <s v="Ranchi"/>
    <x v="17"/>
    <x v="3"/>
    <n v="41760"/>
    <n v="10"/>
  </r>
  <r>
    <s v="Ranchi"/>
    <x v="17"/>
    <x v="4"/>
    <n v="2441"/>
    <n v="1"/>
  </r>
  <r>
    <s v="Ranchi"/>
    <x v="17"/>
    <x v="2"/>
    <n v="76032"/>
    <n v="18"/>
  </r>
  <r>
    <s v="Ranchi"/>
    <x v="17"/>
    <x v="4"/>
    <n v="33952"/>
    <n v="8"/>
  </r>
  <r>
    <s v="Ranchi"/>
    <x v="17"/>
    <x v="7"/>
    <n v="61040"/>
    <n v="20"/>
  </r>
  <r>
    <s v="Ranchi"/>
    <x v="17"/>
    <x v="9"/>
    <n v="1510"/>
    <n v="5"/>
  </r>
  <r>
    <s v="Salem"/>
    <x v="7"/>
    <x v="4"/>
    <n v="11916"/>
    <n v="9"/>
  </r>
  <r>
    <s v="Salem"/>
    <x v="7"/>
    <x v="7"/>
    <n v="13500"/>
    <n v="10"/>
  </r>
  <r>
    <s v="Salem"/>
    <x v="7"/>
    <x v="9"/>
    <n v="4150"/>
    <n v="5"/>
  </r>
  <r>
    <s v="Salem"/>
    <x v="7"/>
    <x v="3"/>
    <n v="988"/>
    <n v="4"/>
  </r>
  <r>
    <s v="Salem"/>
    <x v="7"/>
    <x v="4"/>
    <n v="60073"/>
    <n v="13"/>
  </r>
  <r>
    <s v="Surat"/>
    <x v="1"/>
    <x v="1"/>
    <n v="37610"/>
    <n v="10"/>
  </r>
  <r>
    <s v="Surat"/>
    <x v="1"/>
    <x v="5"/>
    <n v="62475"/>
    <n v="17"/>
  </r>
  <r>
    <s v="Surat"/>
    <x v="1"/>
    <x v="8"/>
    <n v="40460"/>
    <n v="10"/>
  </r>
  <r>
    <s v="Surat"/>
    <x v="1"/>
    <x v="4"/>
    <n v="16828"/>
    <n v="7"/>
  </r>
  <r>
    <s v="Surat"/>
    <x v="1"/>
    <x v="9"/>
    <n v="56460"/>
    <n v="15"/>
  </r>
  <r>
    <s v="Surat"/>
    <x v="1"/>
    <x v="2"/>
    <n v="6456"/>
    <n v="8"/>
  </r>
  <r>
    <s v="Thiruvananthapuram"/>
    <x v="18"/>
    <x v="0"/>
    <n v="34816"/>
    <n v="17"/>
  </r>
  <r>
    <s v="Thiruvananthapuram"/>
    <x v="18"/>
    <x v="3"/>
    <n v="1368"/>
    <n v="3"/>
  </r>
  <r>
    <s v="Thiruvananthapuram"/>
    <x v="18"/>
    <x v="6"/>
    <n v="23576"/>
    <n v="14"/>
  </r>
  <r>
    <s v="Thiruvananthapuram"/>
    <x v="18"/>
    <x v="6"/>
    <n v="71200"/>
    <n v="16"/>
  </r>
  <r>
    <s v="Thiruvananthapuram"/>
    <x v="18"/>
    <x v="4"/>
    <n v="27950"/>
    <n v="13"/>
  </r>
  <r>
    <s v="Thiruvananthapuram"/>
    <x v="18"/>
    <x v="4"/>
    <n v="29408"/>
    <n v="16"/>
  </r>
  <r>
    <s v="Udaipur"/>
    <x v="13"/>
    <x v="7"/>
    <n v="3386"/>
    <n v="1"/>
  </r>
  <r>
    <s v="Udaipur"/>
    <x v="13"/>
    <x v="3"/>
    <n v="38448"/>
    <n v="12"/>
  </r>
  <r>
    <s v="Udaipur"/>
    <x v="13"/>
    <x v="9"/>
    <n v="11872"/>
    <n v="16"/>
  </r>
  <r>
    <s v="Udaipur"/>
    <x v="13"/>
    <x v="1"/>
    <n v="68833"/>
    <n v="17"/>
  </r>
  <r>
    <s v="Udaipur"/>
    <x v="13"/>
    <x v="0"/>
    <n v="14544"/>
    <n v="4"/>
  </r>
  <r>
    <s v="Udaipur"/>
    <x v="13"/>
    <x v="9"/>
    <n v="8010"/>
    <n v="9"/>
  </r>
  <r>
    <s v="Udaipur"/>
    <x v="13"/>
    <x v="3"/>
    <n v="18075"/>
    <n v="15"/>
  </r>
  <r>
    <s v="Udaipur"/>
    <x v="13"/>
    <x v="1"/>
    <n v="11536"/>
    <n v="4"/>
  </r>
  <r>
    <s v="Udaipur"/>
    <x v="13"/>
    <x v="6"/>
    <n v="3596"/>
    <n v="4"/>
  </r>
  <r>
    <s v="Udaipur"/>
    <x v="13"/>
    <x v="2"/>
    <n v="2630"/>
    <n v="1"/>
  </r>
  <r>
    <s v="Udaipur"/>
    <x v="13"/>
    <x v="1"/>
    <n v="35205"/>
    <n v="15"/>
  </r>
  <r>
    <s v="Vadodara"/>
    <x v="1"/>
    <x v="4"/>
    <n v="6440"/>
    <n v="8"/>
  </r>
  <r>
    <s v="Vadodara"/>
    <x v="1"/>
    <x v="6"/>
    <n v="59175"/>
    <n v="15"/>
  </r>
  <r>
    <s v="Vadodara"/>
    <x v="1"/>
    <x v="5"/>
    <n v="39197"/>
    <n v="19"/>
  </r>
  <r>
    <s v="Vadodara"/>
    <x v="1"/>
    <x v="0"/>
    <n v="14735"/>
    <n v="5"/>
  </r>
  <r>
    <s v="Vadodara"/>
    <x v="1"/>
    <x v="5"/>
    <n v="2002"/>
    <n v="7"/>
  </r>
  <r>
    <s v="Vadodara"/>
    <x v="1"/>
    <x v="6"/>
    <n v="22152"/>
    <n v="13"/>
  </r>
  <r>
    <s v="Vadodara"/>
    <x v="1"/>
    <x v="0"/>
    <n v="53865"/>
    <n v="19"/>
  </r>
  <r>
    <s v="Vadodara"/>
    <x v="1"/>
    <x v="7"/>
    <n v="57582"/>
    <n v="14"/>
  </r>
  <r>
    <s v="Varanasi"/>
    <x v="0"/>
    <x v="9"/>
    <n v="69472"/>
    <n v="16"/>
  </r>
  <r>
    <s v="Varanasi"/>
    <x v="0"/>
    <x v="3"/>
    <n v="6766"/>
    <n v="17"/>
  </r>
  <r>
    <s v="Varanasi"/>
    <x v="0"/>
    <x v="3"/>
    <n v="70500"/>
    <n v="20"/>
  </r>
  <r>
    <s v="Varanasi"/>
    <x v="0"/>
    <x v="7"/>
    <n v="33422"/>
    <n v="17"/>
  </r>
  <r>
    <s v="Varanasi"/>
    <x v="0"/>
    <x v="3"/>
    <n v="25600"/>
    <n v="16"/>
  </r>
  <r>
    <s v="Varanasi"/>
    <x v="0"/>
    <x v="3"/>
    <n v="25263"/>
    <n v="7"/>
  </r>
  <r>
    <s v="Varanasi"/>
    <x v="0"/>
    <x v="1"/>
    <n v="11730"/>
    <n v="3"/>
  </r>
  <r>
    <s v="Varanasi"/>
    <x v="0"/>
    <x v="7"/>
    <n v="81940"/>
    <n v="17"/>
  </r>
  <r>
    <s v="Varanasi"/>
    <x v="0"/>
    <x v="0"/>
    <n v="19122"/>
    <n v="6"/>
  </r>
  <r>
    <s v="Vijayawada"/>
    <x v="19"/>
    <x v="6"/>
    <n v="12972"/>
    <n v="12"/>
  </r>
  <r>
    <s v="Vijayawada"/>
    <x v="19"/>
    <x v="9"/>
    <n v="2390"/>
    <n v="2"/>
  </r>
  <r>
    <s v="Vijayawada"/>
    <x v="19"/>
    <x v="2"/>
    <n v="39380"/>
    <n v="10"/>
  </r>
  <r>
    <s v="Vijayawada"/>
    <x v="19"/>
    <x v="6"/>
    <n v="36936"/>
    <n v="18"/>
  </r>
  <r>
    <s v="Vijayawada"/>
    <x v="19"/>
    <x v="9"/>
    <n v="16002"/>
    <n v="14"/>
  </r>
  <r>
    <s v="Visakhapatnam"/>
    <x v="19"/>
    <x v="9"/>
    <n v="17721"/>
    <n v="9"/>
  </r>
  <r>
    <s v="Visakhapatnam"/>
    <x v="19"/>
    <x v="1"/>
    <n v="4185"/>
    <n v="3"/>
  </r>
  <r>
    <s v="Visakhapatnam"/>
    <x v="19"/>
    <x v="6"/>
    <n v="17924"/>
    <n v="4"/>
  </r>
  <r>
    <s v="Visakhapatnam"/>
    <x v="19"/>
    <x v="0"/>
    <n v="74415"/>
    <n v="15"/>
  </r>
  <r>
    <s v="Visakhapatnam"/>
    <x v="19"/>
    <x v="0"/>
    <n v="29988"/>
    <n v="7"/>
  </r>
  <r>
    <s v="Visakhapatnam"/>
    <x v="19"/>
    <x v="8"/>
    <n v="61938"/>
    <n v="18"/>
  </r>
  <r>
    <s v="Visakhapatnam"/>
    <x v="19"/>
    <x v="1"/>
    <n v="4027"/>
    <n v="1"/>
  </r>
  <r>
    <s v="Warangal"/>
    <x v="12"/>
    <x v="2"/>
    <n v="28824"/>
    <n v="12"/>
  </r>
  <r>
    <s v="Warangal"/>
    <x v="12"/>
    <x v="4"/>
    <n v="17001"/>
    <n v="9"/>
  </r>
  <r>
    <s v="Warangal"/>
    <x v="12"/>
    <x v="1"/>
    <n v="13344"/>
    <n v="12"/>
  </r>
  <r>
    <s v="Warangal"/>
    <x v="12"/>
    <x v="5"/>
    <n v="8127"/>
    <n v="9"/>
  </r>
  <r>
    <s v="Warangal"/>
    <x v="12"/>
    <x v="7"/>
    <n v="27120"/>
    <n v="10"/>
  </r>
  <r>
    <s v="Warangal"/>
    <x v="12"/>
    <x v="6"/>
    <n v="8910"/>
    <n v="9"/>
  </r>
  <r>
    <s v="Warangal"/>
    <x v="12"/>
    <x v="8"/>
    <n v="20993"/>
    <n v="7"/>
  </r>
  <r>
    <s v="Warangal"/>
    <x v="12"/>
    <x v="0"/>
    <n v="3180"/>
    <n v="12"/>
  </r>
  <r>
    <s v="Warangal"/>
    <x v="12"/>
    <x v="2"/>
    <n v="48726"/>
    <n v="18"/>
  </r>
  <r>
    <s v="Warangal"/>
    <x v="12"/>
    <x v="5"/>
    <n v="14966"/>
    <n v="1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EC27EB-285A-4197-ABBA-5D9195649A59}" name="Product_wise_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J7:K18" firstHeaderRow="1" firstDataRow="1" firstDataCol="1"/>
  <pivotFields count="5">
    <pivotField showAll="0"/>
    <pivotField showAll="0"/>
    <pivotField axis="axisRow" showAll="0" sortType="ascending">
      <items count="11">
        <item x="8"/>
        <item x="4"/>
        <item x="2"/>
        <item x="3"/>
        <item x="1"/>
        <item x="6"/>
        <item x="9"/>
        <item x="7"/>
        <item x="5"/>
        <item x="0"/>
        <item t="default"/>
      </items>
      <autoSortScope>
        <pivotArea dataOnly="0" outline="0" fieldPosition="0">
          <references count="1">
            <reference field="4294967294" count="1" selected="0">
              <x v="0"/>
            </reference>
          </references>
        </pivotArea>
      </autoSortScope>
    </pivotField>
    <pivotField numFmtId="165" showAll="0"/>
    <pivotField dataField="1" showAll="0"/>
  </pivotFields>
  <rowFields count="1">
    <field x="2"/>
  </rowFields>
  <rowItems count="11">
    <i>
      <x/>
    </i>
    <i>
      <x v="7"/>
    </i>
    <i>
      <x v="4"/>
    </i>
    <i>
      <x v="1"/>
    </i>
    <i>
      <x v="8"/>
    </i>
    <i>
      <x v="2"/>
    </i>
    <i>
      <x v="6"/>
    </i>
    <i>
      <x v="9"/>
    </i>
    <i>
      <x v="5"/>
    </i>
    <i>
      <x v="3"/>
    </i>
    <i t="grand">
      <x/>
    </i>
  </rowItems>
  <colItems count="1">
    <i/>
  </colItems>
  <dataFields count="1">
    <dataField name="Sum of Units Sold" fld="4" baseField="0" baseItem="0"/>
  </dataFields>
  <formats count="6">
    <format dxfId="5">
      <pivotArea type="all" dataOnly="0" outline="0" fieldPosition="0"/>
    </format>
    <format dxfId="4">
      <pivotArea outline="0" collapsedLevelsAreSubtotals="1" fieldPosition="0"/>
    </format>
    <format dxfId="3">
      <pivotArea field="2" type="button" dataOnly="0" labelOnly="1" outline="0" axis="axisRow" fieldPosition="0"/>
    </format>
    <format dxfId="2">
      <pivotArea dataOnly="0" labelOnly="1" fieldPosition="0">
        <references count="1">
          <reference field="2" count="0"/>
        </references>
      </pivotArea>
    </format>
    <format dxfId="1">
      <pivotArea dataOnly="0" labelOnly="1" grandRow="1" outline="0" fieldPosition="0"/>
    </format>
    <format dxfId="0">
      <pivotArea dataOnly="0" labelOnly="1" outline="0" axis="axisValues" fieldPosition="0"/>
    </format>
  </formats>
  <chartFormats count="1">
    <chartFormat chart="4" format="2"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82DB526-569B-4A66-A17B-2EA1A7D76035}" name="State_wise_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7:G28" firstHeaderRow="1" firstDataRow="1" firstDataCol="1" rowPageCount="1" colPageCount="1"/>
  <pivotFields count="5">
    <pivotField showAll="0"/>
    <pivotField axis="axisRow" showAll="0">
      <items count="21">
        <item x="19"/>
        <item x="11"/>
        <item x="15"/>
        <item x="6"/>
        <item x="16"/>
        <item x="9"/>
        <item x="1"/>
        <item x="10"/>
        <item x="17"/>
        <item x="4"/>
        <item x="18"/>
        <item x="5"/>
        <item x="3"/>
        <item x="2"/>
        <item x="13"/>
        <item x="7"/>
        <item x="12"/>
        <item x="0"/>
        <item x="8"/>
        <item x="14"/>
        <item t="default"/>
      </items>
    </pivotField>
    <pivotField axis="axisPage" showAll="0">
      <items count="11">
        <item x="8"/>
        <item x="4"/>
        <item x="2"/>
        <item x="3"/>
        <item x="1"/>
        <item x="6"/>
        <item x="9"/>
        <item x="7"/>
        <item x="5"/>
        <item x="0"/>
        <item t="default"/>
      </items>
    </pivotField>
    <pivotField dataField="1" numFmtId="165" showAll="0"/>
    <pivotField showAll="0"/>
  </pivotFields>
  <rowFields count="1">
    <field x="1"/>
  </rowFields>
  <rowItems count="21">
    <i>
      <x/>
    </i>
    <i>
      <x v="1"/>
    </i>
    <i>
      <x v="2"/>
    </i>
    <i>
      <x v="3"/>
    </i>
    <i>
      <x v="4"/>
    </i>
    <i>
      <x v="5"/>
    </i>
    <i>
      <x v="6"/>
    </i>
    <i>
      <x v="7"/>
    </i>
    <i>
      <x v="8"/>
    </i>
    <i>
      <x v="9"/>
    </i>
    <i>
      <x v="10"/>
    </i>
    <i>
      <x v="11"/>
    </i>
    <i>
      <x v="12"/>
    </i>
    <i>
      <x v="13"/>
    </i>
    <i>
      <x v="14"/>
    </i>
    <i>
      <x v="15"/>
    </i>
    <i>
      <x v="16"/>
    </i>
    <i>
      <x v="17"/>
    </i>
    <i>
      <x v="18"/>
    </i>
    <i>
      <x v="19"/>
    </i>
    <i t="grand">
      <x/>
    </i>
  </rowItems>
  <colItems count="1">
    <i/>
  </colItems>
  <pageFields count="1">
    <pageField fld="2" hier="-1"/>
  </pageFields>
  <dataFields count="1">
    <dataField name="Sum of Sales Amount (₹)" fld="3" baseField="0" baseItem="0" numFmtId="165"/>
  </dataFields>
  <formats count="7">
    <format dxfId="12">
      <pivotArea type="all" dataOnly="0" outline="0" fieldPosition="0"/>
    </format>
    <format dxfId="11">
      <pivotArea outline="0" collapsedLevelsAreSubtotals="1" fieldPosition="0"/>
    </format>
    <format dxfId="10">
      <pivotArea field="1" type="button" dataOnly="0" labelOnly="1" outline="0" axis="axisRow" fieldPosition="0"/>
    </format>
    <format dxfId="9">
      <pivotArea dataOnly="0" labelOnly="1" fieldPosition="0">
        <references count="1">
          <reference field="1" count="0"/>
        </references>
      </pivotArea>
    </format>
    <format dxfId="8">
      <pivotArea dataOnly="0" labelOnly="1" grandRow="1" outline="0" fieldPosition="0"/>
    </format>
    <format dxfId="7">
      <pivotArea dataOnly="0" labelOnly="1" outline="0" axis="axisValues" fieldPosition="0"/>
    </format>
    <format dxfId="6">
      <pivotArea field="1" type="button" dataOnly="0" labelOnly="1" outline="0" axis="axisRow" fieldPosition="0"/>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4E064C4-3C17-4443-9776-7A5A10E633D2}"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7:O8" firstHeaderRow="0" firstDataRow="1" firstDataCol="0"/>
  <pivotFields count="5">
    <pivotField showAll="0"/>
    <pivotField showAll="0"/>
    <pivotField showAll="0"/>
    <pivotField dataField="1" numFmtId="165" showAll="0"/>
    <pivotField dataField="1" showAll="0"/>
  </pivotFields>
  <rowItems count="1">
    <i/>
  </rowItems>
  <colFields count="1">
    <field x="-2"/>
  </colFields>
  <colItems count="2">
    <i>
      <x/>
    </i>
    <i i="1">
      <x v="1"/>
    </i>
  </colItems>
  <dataFields count="2">
    <dataField name="Sales" fld="3" baseField="0" baseItem="1" numFmtId="165"/>
    <dataField name="Sold Units" fld="4" baseField="0" baseItem="1"/>
  </dataFields>
  <formats count="15">
    <format dxfId="27">
      <pivotArea type="all" dataOnly="0" outline="0" fieldPosition="0"/>
    </format>
    <format dxfId="26">
      <pivotArea outline="0" collapsedLevelsAreSubtotals="1" fieldPosition="0"/>
    </format>
    <format dxfId="25">
      <pivotArea dataOnly="0" labelOnly="1" outline="0" fieldPosition="0">
        <references count="1">
          <reference field="4294967294" count="2">
            <x v="0"/>
            <x v="1"/>
          </reference>
        </references>
      </pivotArea>
    </format>
    <format dxfId="24">
      <pivotArea type="all" dataOnly="0" outline="0" fieldPosition="0"/>
    </format>
    <format dxfId="23">
      <pivotArea outline="0" collapsedLevelsAreSubtotals="1" fieldPosition="0"/>
    </format>
    <format dxfId="22">
      <pivotArea dataOnly="0" labelOnly="1" outline="0" fieldPosition="0">
        <references count="1">
          <reference field="4294967294" count="2">
            <x v="0"/>
            <x v="1"/>
          </reference>
        </references>
      </pivotArea>
    </format>
    <format dxfId="21">
      <pivotArea type="all" dataOnly="0" outline="0" fieldPosition="0"/>
    </format>
    <format dxfId="20">
      <pivotArea outline="0" collapsedLevelsAreSubtotals="1" fieldPosition="0"/>
    </format>
    <format dxfId="19">
      <pivotArea dataOnly="0" labelOnly="1" outline="0" fieldPosition="0">
        <references count="1">
          <reference field="4294967294" count="2">
            <x v="0"/>
            <x v="1"/>
          </reference>
        </references>
      </pivotArea>
    </format>
    <format dxfId="18">
      <pivotArea type="all" dataOnly="0" outline="0" fieldPosition="0"/>
    </format>
    <format dxfId="17">
      <pivotArea outline="0" collapsedLevelsAreSubtotals="1" fieldPosition="0"/>
    </format>
    <format dxfId="16">
      <pivotArea dataOnly="0" labelOnly="1" outline="0" fieldPosition="0">
        <references count="1">
          <reference field="4294967294" count="2">
            <x v="0"/>
            <x v="1"/>
          </reference>
        </references>
      </pivotArea>
    </format>
    <format dxfId="15">
      <pivotArea type="all" dataOnly="0" outline="0" fieldPosition="0"/>
    </format>
    <format dxfId="14">
      <pivotArea outline="0" collapsedLevelsAreSubtotals="1" fieldPosition="0"/>
    </format>
    <format dxfId="13">
      <pivotArea dataOnly="0" labelOnly="1" outline="0" fieldPosition="0">
        <references count="1">
          <reference field="4294967294" count="2">
            <x v="0"/>
            <x v="1"/>
          </reference>
        </references>
      </pivotArea>
    </format>
  </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4E1C658-92DD-485C-9613-4BA112EF5852}" name="City_wise_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B7:C56" firstHeaderRow="1" firstDataRow="1" firstDataCol="1" rowPageCount="1" colPageCount="1"/>
  <pivotFields count="5">
    <pivotField axis="axisRow" showAll="0">
      <items count="49">
        <item sd="0" x="0"/>
        <item sd="0" x="1"/>
        <item sd="0" x="2"/>
        <item sd="0" x="3"/>
        <item sd="0"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showAll="0">
      <items count="21">
        <item sd="0" x="19"/>
        <item sd="0" x="11"/>
        <item sd="0" x="15"/>
        <item sd="0" x="6"/>
        <item sd="0" x="16"/>
        <item sd="0" x="9"/>
        <item sd="0" x="1"/>
        <item sd="0" x="10"/>
        <item sd="0" x="17"/>
        <item sd="0" x="4"/>
        <item sd="0" x="18"/>
        <item sd="0" x="5"/>
        <item sd="0" x="3"/>
        <item sd="0" x="2"/>
        <item sd="0" x="13"/>
        <item sd="0" x="7"/>
        <item sd="0" x="12"/>
        <item sd="0" x="0"/>
        <item sd="0" x="8"/>
        <item sd="0" x="14"/>
        <item t="default" sd="0"/>
      </items>
    </pivotField>
    <pivotField axis="axisPage" showAll="0">
      <items count="11">
        <item x="8"/>
        <item x="4"/>
        <item x="2"/>
        <item x="3"/>
        <item x="1"/>
        <item x="6"/>
        <item x="9"/>
        <item x="7"/>
        <item x="5"/>
        <item x="0"/>
        <item t="default"/>
      </items>
    </pivotField>
    <pivotField dataField="1" numFmtId="165" showAll="0"/>
    <pivotField showAll="0"/>
  </pivotFields>
  <rowFields count="1">
    <field x="0"/>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pageFields count="1">
    <pageField fld="2" hier="-1"/>
  </pageFields>
  <dataFields count="1">
    <dataField name="Sum of Sales Amount (₹)" fld="3" baseField="0" baseItem="0" numFmtId="165"/>
  </dataFields>
  <formats count="32">
    <format dxfId="59">
      <pivotArea field="0" type="button" dataOnly="0" labelOnly="1" outline="0" axis="axisRow" fieldPosition="0"/>
    </format>
    <format dxfId="58">
      <pivotArea dataOnly="0" labelOnly="1" outline="0" fieldPosition="0">
        <references count="1">
          <reference field="4294967294" count="1">
            <x v="0"/>
          </reference>
        </references>
      </pivotArea>
    </format>
    <format dxfId="57">
      <pivotArea field="0" type="button" dataOnly="0" labelOnly="1" outline="0" axis="axisRow" fieldPosition="0"/>
    </format>
    <format dxfId="56">
      <pivotArea dataOnly="0" labelOnly="1" outline="0" fieldPosition="0">
        <references count="1">
          <reference field="4294967294" count="1">
            <x v="0"/>
          </reference>
        </references>
      </pivotArea>
    </format>
    <format dxfId="55">
      <pivotArea field="0" type="button" dataOnly="0" labelOnly="1" outline="0" axis="axisRow" fieldPosition="0"/>
    </format>
    <format dxfId="54">
      <pivotArea dataOnly="0" labelOnly="1" outline="0" fieldPosition="0">
        <references count="1">
          <reference field="4294967294" count="1">
            <x v="0"/>
          </reference>
        </references>
      </pivotArea>
    </format>
    <format dxfId="53">
      <pivotArea field="0" type="button" dataOnly="0" labelOnly="1" outline="0" axis="axisRow" fieldPosition="0"/>
    </format>
    <format dxfId="52">
      <pivotArea field="1" type="button" dataOnly="0" labelOnly="1" outline="0"/>
    </format>
    <format dxfId="51">
      <pivotArea dataOnly="0" labelOnly="1" outline="0" fieldPosition="0">
        <references count="1">
          <reference field="4294967294" count="1">
            <x v="0"/>
          </reference>
        </references>
      </pivotArea>
    </format>
    <format dxfId="50">
      <pivotArea field="1" grandRow="1" outline="0" collapsedLevelsAreSubtotals="1">
        <references count="1">
          <reference field="4294967294" count="1" selected="0">
            <x v="0"/>
          </reference>
        </references>
      </pivotArea>
    </format>
    <format dxfId="49">
      <pivotArea field="1" type="button" dataOnly="0" labelOnly="1" outline="0"/>
    </format>
    <format dxfId="48">
      <pivotArea dataOnly="0" labelOnly="1" outline="0" fieldPosition="0">
        <references count="1">
          <reference field="4294967294" count="1">
            <x v="0"/>
          </reference>
        </references>
      </pivotArea>
    </format>
    <format dxfId="47">
      <pivotArea field="0" type="button" dataOnly="0" labelOnly="1" outline="0" axis="axisRow" fieldPosition="0"/>
    </format>
    <format dxfId="46">
      <pivotArea field="0" type="button" dataOnly="0" labelOnly="1" outline="0" axis="axisRow" fieldPosition="0"/>
    </format>
    <format dxfId="45">
      <pivotArea dataOnly="0" labelOnly="1" fieldPosition="0">
        <references count="1">
          <reference field="0" count="0"/>
        </references>
      </pivotArea>
    </format>
    <format dxfId="44">
      <pivotArea outline="0" collapsedLevelsAreSubtotals="1" fieldPosition="0"/>
    </format>
    <format dxfId="43">
      <pivotArea field="1" type="button" dataOnly="0" labelOnly="1" outline="0"/>
    </format>
    <format dxfId="42">
      <pivotArea dataOnly="0" labelOnly="1" outline="0" fieldPosition="0">
        <references count="1">
          <reference field="4294967294" count="1">
            <x v="0"/>
          </reference>
        </references>
      </pivotArea>
    </format>
    <format dxfId="41">
      <pivotArea grandRow="1" outline="0" collapsedLevelsAreSubtotals="1" fieldPosition="0"/>
    </format>
    <format dxfId="40">
      <pivotArea dataOnly="0" labelOnly="1" grandRow="1" outline="0" fieldPosition="0"/>
    </format>
    <format dxfId="39">
      <pivotArea field="2" type="button" dataOnly="0" labelOnly="1" outline="0" axis="axisPage" fieldPosition="0"/>
    </format>
    <format dxfId="38">
      <pivotArea dataOnly="0" labelOnly="1" outline="0" axis="axisValues" fieldPosition="0"/>
    </format>
    <format dxfId="37">
      <pivotArea dataOnly="0" labelOnly="1" outline="0" axis="axisValues" fieldPosition="0"/>
    </format>
    <format dxfId="36">
      <pivotArea dataOnly="0" labelOnly="1" outline="0" axis="axisValues" fieldPosition="0"/>
    </format>
    <format dxfId="35">
      <pivotArea dataOnly="0" labelOnly="1" outline="0" axis="axisValues" fieldPosition="0"/>
    </format>
    <format dxfId="34">
      <pivotArea dataOnly="0" labelOnly="1" outline="0" axis="axisValues" fieldPosition="0"/>
    </format>
    <format dxfId="33">
      <pivotArea field="0" type="button" dataOnly="0" labelOnly="1" outline="0" axis="axisRow" fieldPosition="0"/>
    </format>
    <format dxfId="32">
      <pivotArea dataOnly="0" labelOnly="1" outline="0" axis="axisValues" fieldPosition="0"/>
    </format>
    <format dxfId="31">
      <pivotArea field="0" type="button" dataOnly="0" labelOnly="1" outline="0" axis="axisRow" fieldPosition="0"/>
    </format>
    <format dxfId="30">
      <pivotArea dataOnly="0" labelOnly="1" outline="0" axis="axisValues" fieldPosition="0"/>
    </format>
    <format dxfId="29">
      <pivotArea field="0" type="button" dataOnly="0" labelOnly="1" outline="0" axis="axisRow" fieldPosition="0"/>
    </format>
    <format dxfId="28">
      <pivotArea dataOnly="0" labelOnly="1" outline="0" axis="axisValues" fieldPosition="0"/>
    </format>
  </formats>
  <chartFormats count="1">
    <chartFormat chart="16" format="0" series="1">
      <pivotArea type="data" outline="0" fieldPosition="0">
        <references count="1">
          <reference field="4294967294" count="1" selected="0">
            <x v="0"/>
          </reference>
        </references>
      </pivotArea>
    </chartFormat>
  </chartFormats>
  <pivotTableStyleInfo name="PivotStylePreset2_Accent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5569DF46-A4D7-496B-BF7E-185654CCF426}" sourceName="City">
  <pivotTables>
    <pivotTable tabId="10" name="City_wise_Pivot"/>
  </pivotTables>
  <data>
    <tabular pivotCacheId="1656246880">
      <items count="48">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7897D725-D7AE-4A39-BABA-7721A3950ADD}" sourceName="Product Category">
  <pivotTables>
    <pivotTable tabId="10" name="Product_wise_pivot"/>
  </pivotTables>
  <data>
    <tabular pivotCacheId="2011132422">
      <items count="10">
        <i x="8" s="1"/>
        <i x="4" s="1"/>
        <i x="2" s="1"/>
        <i x="3" s="1"/>
        <i x="1" s="1"/>
        <i x="6" s="1"/>
        <i x="9" s="1"/>
        <i x="7" s="1"/>
        <i x="5"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E219FD9B-E786-448A-8C9A-07EC1EFC42DD}" sourceName="State">
  <extLst>
    <x:ext xmlns:x15="http://schemas.microsoft.com/office/spreadsheetml/2010/11/main" uri="{2F2917AC-EB37-4324-AD4E-5DD8C200BD13}">
      <x15:tableSlicerCache tableId="2" column="2"/>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BB5F5F17-7C32-4A5C-8D92-94BBAF211FD2}" sourceName="City">
  <extLst>
    <x:ext xmlns:x15="http://schemas.microsoft.com/office/spreadsheetml/2010/11/main" uri="{2F2917AC-EB37-4324-AD4E-5DD8C200BD13}">
      <x15:tableSlicerCache tableId="2"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3256041F-3975-495C-9F8E-B625E6B70B17}" sourceName="Product Category">
  <extLst>
    <x:ext xmlns:x15="http://schemas.microsoft.com/office/spreadsheetml/2010/11/main" uri="{2F2917AC-EB37-4324-AD4E-5DD8C200BD13}">
      <x15:tableSlicerCache tableId="2" column="3"/>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DC7D4C96-6D73-4A19-B5E9-9B68FB3879CC}" cache="Slicer_State" caption="State" rowHeight="234950"/>
  <slicer name="City" xr10:uid="{6A931485-BB52-48EE-B865-067F1D7A36EB}" cache="Slicer_City" caption="City" rowHeight="234950"/>
  <slicer name="Product Category" xr10:uid="{240966C5-0E6E-43A8-8225-80F85E1452A7}" cache="Slicer_Product_Category"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1" xr10:uid="{58988CC3-4206-4E65-8A48-78233C26244B}" cache="Slicer_City1" caption="City" rowHeight="234950"/>
  <slicer name="Product Category 1" xr10:uid="{33BA5D76-7666-4C03-A525-7C71194D60CB}" cache="Slicer_Product_Category1" caption="Product Category"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158054C-C1A9-4566-9B00-CCB96E9EDAF1}" name="Main_data" displayName="Main_data" ref="B4:F304" totalsRowShown="0" headerRowDxfId="68" headerRowBorderDxfId="67" tableBorderDxfId="66" totalsRowBorderDxfId="65">
  <autoFilter ref="B4:F304" xr:uid="{7158054C-C1A9-4566-9B00-CCB96E9EDAF1}"/>
  <tableColumns count="5">
    <tableColumn id="1" xr3:uid="{E0F7E4A5-8505-42A8-A69E-14C160D8CFB9}" name="City" dataDxfId="64"/>
    <tableColumn id="2" xr3:uid="{9BF13F7E-EC58-4CAA-913B-7DCFA046E3C5}" name="State" dataDxfId="63"/>
    <tableColumn id="3" xr3:uid="{DE6494E7-01FC-4684-83FF-0A986454C066}" name="Product Category" dataDxfId="62"/>
    <tableColumn id="4" xr3:uid="{15B43D2C-732A-441F-BAA5-07820C43D30C}" name="Sales Amount (₹)" dataDxfId="61"/>
    <tableColumn id="5" xr3:uid="{5D28325B-E882-4DD0-B8E7-7EDA3DB3367B}" name="Units Sold" dataDxfId="60"/>
  </tableColumns>
  <tableStyleInfo name="TableStylePreset3_Accent1"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E1BDD-E5E0-4604-8134-25301018D202}">
  <dimension ref="B1:I304"/>
  <sheetViews>
    <sheetView showGridLines="0" tabSelected="1" zoomScale="40" zoomScaleNormal="40" workbookViewId="0">
      <selection activeCell="G1" sqref="G1"/>
    </sheetView>
  </sheetViews>
  <sheetFormatPr defaultRowHeight="14.4"/>
  <cols>
    <col min="2" max="2" width="31.33203125" customWidth="1"/>
    <col min="3" max="3" width="24.77734375" customWidth="1"/>
    <col min="4" max="4" width="43.109375" customWidth="1"/>
    <col min="5" max="5" width="39.33203125" customWidth="1"/>
    <col min="6" max="6" width="33.33203125" customWidth="1"/>
    <col min="9" max="9" width="33.33203125" customWidth="1"/>
    <col min="10" max="10" width="18.44140625" customWidth="1"/>
    <col min="11" max="11" width="24.77734375" bestFit="1" customWidth="1"/>
    <col min="12" max="12" width="40.109375" bestFit="1" customWidth="1"/>
    <col min="13" max="13" width="29" bestFit="1" customWidth="1"/>
    <col min="14" max="14" width="14.6640625" customWidth="1"/>
    <col min="15" max="15" width="23.109375" bestFit="1" customWidth="1"/>
    <col min="16" max="16" width="40.109375" bestFit="1" customWidth="1"/>
    <col min="17" max="17" width="29" bestFit="1" customWidth="1"/>
  </cols>
  <sheetData>
    <row r="1" spans="2:9" ht="15" thickBot="1"/>
    <row r="2" spans="2:9" ht="45" thickTop="1" thickBot="1">
      <c r="B2" s="52" t="s">
        <v>0</v>
      </c>
      <c r="C2" s="53"/>
      <c r="D2" s="53"/>
      <c r="E2" s="53"/>
      <c r="F2" s="54"/>
    </row>
    <row r="3" spans="2:9" ht="15" thickTop="1">
      <c r="B3" s="1"/>
      <c r="C3" s="1"/>
      <c r="D3" s="1"/>
      <c r="E3" s="1"/>
      <c r="F3" s="1"/>
    </row>
    <row r="4" spans="2:9" ht="27.6">
      <c r="B4" s="23" t="s">
        <v>1</v>
      </c>
      <c r="C4" s="24" t="s">
        <v>2</v>
      </c>
      <c r="D4" s="24" t="s">
        <v>3</v>
      </c>
      <c r="E4" s="24" t="s">
        <v>4</v>
      </c>
      <c r="F4" s="25" t="s">
        <v>5</v>
      </c>
      <c r="I4" s="13" t="s">
        <v>6</v>
      </c>
    </row>
    <row r="5" spans="2:9" ht="23.4">
      <c r="B5" s="21" t="s">
        <v>7</v>
      </c>
      <c r="C5" s="6" t="s">
        <v>8</v>
      </c>
      <c r="D5" s="6" t="s">
        <v>9</v>
      </c>
      <c r="E5" s="7">
        <v>46420</v>
      </c>
      <c r="F5" s="22">
        <v>14</v>
      </c>
      <c r="I5" s="8">
        <f>SUM('Amazon Sales Dashboard  2024'!E5:E304)</f>
        <v>9005000</v>
      </c>
    </row>
    <row r="6" spans="2:9" ht="23.4">
      <c r="B6" s="21" t="s">
        <v>7</v>
      </c>
      <c r="C6" s="6" t="s">
        <v>8</v>
      </c>
      <c r="D6" s="6" t="s">
        <v>10</v>
      </c>
      <c r="E6" s="7">
        <v>71892</v>
      </c>
      <c r="F6" s="22">
        <v>18</v>
      </c>
      <c r="I6" s="9"/>
    </row>
    <row r="7" spans="2:9" ht="23.4">
      <c r="B7" s="21" t="s">
        <v>7</v>
      </c>
      <c r="C7" s="6" t="s">
        <v>8</v>
      </c>
      <c r="D7" s="6" t="s">
        <v>11</v>
      </c>
      <c r="E7" s="7">
        <v>78380</v>
      </c>
      <c r="F7" s="22">
        <v>20</v>
      </c>
      <c r="I7" s="14" t="s">
        <v>12</v>
      </c>
    </row>
    <row r="8" spans="2:9" ht="23.4">
      <c r="B8" s="21" t="s">
        <v>7</v>
      </c>
      <c r="C8" s="6" t="s">
        <v>8</v>
      </c>
      <c r="D8" s="6" t="s">
        <v>10</v>
      </c>
      <c r="E8" s="7">
        <v>14432</v>
      </c>
      <c r="F8" s="22">
        <v>11</v>
      </c>
      <c r="I8" s="10">
        <f>SUM('Amazon Sales Dashboard  2024'!F5:F304)</f>
        <v>3418</v>
      </c>
    </row>
    <row r="9" spans="2:9" ht="23.4">
      <c r="B9" s="21" t="s">
        <v>13</v>
      </c>
      <c r="C9" s="6" t="s">
        <v>14</v>
      </c>
      <c r="D9" s="6" t="s">
        <v>9</v>
      </c>
      <c r="E9" s="7">
        <v>18604</v>
      </c>
      <c r="F9" s="22">
        <v>4</v>
      </c>
      <c r="I9" s="9"/>
    </row>
    <row r="10" spans="2:9" ht="23.4">
      <c r="B10" s="21" t="s">
        <v>13</v>
      </c>
      <c r="C10" s="6" t="s">
        <v>14</v>
      </c>
      <c r="D10" s="6" t="s">
        <v>15</v>
      </c>
      <c r="E10" s="7">
        <v>28340</v>
      </c>
      <c r="F10" s="22">
        <v>13</v>
      </c>
      <c r="I10" s="15" t="s">
        <v>16</v>
      </c>
    </row>
    <row r="11" spans="2:9" ht="23.4">
      <c r="B11" s="21" t="s">
        <v>13</v>
      </c>
      <c r="C11" s="6" t="s">
        <v>14</v>
      </c>
      <c r="D11" s="6" t="s">
        <v>9</v>
      </c>
      <c r="E11" s="7">
        <v>27132</v>
      </c>
      <c r="F11" s="22">
        <v>7</v>
      </c>
      <c r="I11" s="11">
        <f>COUNTA(_xlfn.UNIQUE('Amazon Sales Dashboard  2024'!B5:B304))</f>
        <v>48</v>
      </c>
    </row>
    <row r="12" spans="2:9" ht="23.4">
      <c r="B12" s="21" t="s">
        <v>13</v>
      </c>
      <c r="C12" s="6" t="s">
        <v>14</v>
      </c>
      <c r="D12" s="6" t="s">
        <v>11</v>
      </c>
      <c r="E12" s="7">
        <v>34105</v>
      </c>
      <c r="F12" s="22">
        <v>19</v>
      </c>
      <c r="I12" s="2"/>
    </row>
    <row r="13" spans="2:9" ht="23.4">
      <c r="B13" s="21" t="s">
        <v>13</v>
      </c>
      <c r="C13" s="6" t="s">
        <v>14</v>
      </c>
      <c r="D13" s="6" t="s">
        <v>17</v>
      </c>
      <c r="E13" s="7">
        <v>9324</v>
      </c>
      <c r="F13" s="22">
        <v>3</v>
      </c>
      <c r="I13" s="16" t="s">
        <v>85</v>
      </c>
    </row>
    <row r="14" spans="2:9" ht="23.4">
      <c r="B14" s="21" t="s">
        <v>13</v>
      </c>
      <c r="C14" s="6" t="s">
        <v>14</v>
      </c>
      <c r="D14" s="6" t="s">
        <v>18</v>
      </c>
      <c r="E14" s="7">
        <v>16176</v>
      </c>
      <c r="F14" s="22">
        <v>16</v>
      </c>
      <c r="I14" s="12">
        <f>COUNTA(_xlfn.UNIQUE('Amazon Sales Dashboard  2024'!C5:C304))</f>
        <v>20</v>
      </c>
    </row>
    <row r="15" spans="2:9" ht="23.4">
      <c r="B15" s="21" t="s">
        <v>13</v>
      </c>
      <c r="C15" s="6" t="s">
        <v>14</v>
      </c>
      <c r="D15" s="6" t="s">
        <v>11</v>
      </c>
      <c r="E15" s="7">
        <v>68799</v>
      </c>
      <c r="F15" s="22">
        <v>19</v>
      </c>
    </row>
    <row r="16" spans="2:9" ht="23.4">
      <c r="B16" s="21" t="s">
        <v>19</v>
      </c>
      <c r="C16" s="6" t="s">
        <v>20</v>
      </c>
      <c r="D16" s="6" t="s">
        <v>18</v>
      </c>
      <c r="E16" s="7">
        <v>78810</v>
      </c>
      <c r="F16" s="22">
        <v>18</v>
      </c>
    </row>
    <row r="17" spans="2:6" ht="23.4">
      <c r="B17" s="21" t="s">
        <v>19</v>
      </c>
      <c r="C17" s="6" t="s">
        <v>20</v>
      </c>
      <c r="D17" s="6" t="s">
        <v>11</v>
      </c>
      <c r="E17" s="7">
        <v>9264</v>
      </c>
      <c r="F17" s="22">
        <v>3</v>
      </c>
    </row>
    <row r="18" spans="2:6" ht="23.4">
      <c r="B18" s="21" t="s">
        <v>21</v>
      </c>
      <c r="C18" s="6" t="s">
        <v>22</v>
      </c>
      <c r="D18" s="6" t="s">
        <v>11</v>
      </c>
      <c r="E18" s="7">
        <v>16450</v>
      </c>
      <c r="F18" s="22">
        <v>10</v>
      </c>
    </row>
    <row r="19" spans="2:6" ht="23.4">
      <c r="B19" s="21" t="s">
        <v>21</v>
      </c>
      <c r="C19" s="6" t="s">
        <v>22</v>
      </c>
      <c r="D19" s="6" t="s">
        <v>18</v>
      </c>
      <c r="E19" s="7">
        <v>20688</v>
      </c>
      <c r="F19" s="22">
        <v>18</v>
      </c>
    </row>
    <row r="20" spans="2:6" ht="23.4">
      <c r="B20" s="21" t="s">
        <v>21</v>
      </c>
      <c r="C20" s="6" t="s">
        <v>22</v>
      </c>
      <c r="D20" s="6" t="s">
        <v>9</v>
      </c>
      <c r="E20" s="7">
        <v>44550</v>
      </c>
      <c r="F20" s="22">
        <v>9</v>
      </c>
    </row>
    <row r="21" spans="2:6" ht="23.4">
      <c r="B21" s="21" t="s">
        <v>23</v>
      </c>
      <c r="C21" s="6" t="s">
        <v>8</v>
      </c>
      <c r="D21" s="6" t="s">
        <v>17</v>
      </c>
      <c r="E21" s="7">
        <v>19672</v>
      </c>
      <c r="F21" s="22">
        <v>4</v>
      </c>
    </row>
    <row r="22" spans="2:6" ht="23.4">
      <c r="B22" s="21" t="s">
        <v>23</v>
      </c>
      <c r="C22" s="6" t="s">
        <v>8</v>
      </c>
      <c r="D22" s="6" t="s">
        <v>15</v>
      </c>
      <c r="E22" s="7">
        <v>58949</v>
      </c>
      <c r="F22" s="22">
        <v>19</v>
      </c>
    </row>
    <row r="23" spans="2:6" ht="23.4">
      <c r="B23" s="21" t="s">
        <v>23</v>
      </c>
      <c r="C23" s="6" t="s">
        <v>8</v>
      </c>
      <c r="D23" s="6" t="s">
        <v>24</v>
      </c>
      <c r="E23" s="7">
        <v>14880</v>
      </c>
      <c r="F23" s="22">
        <v>12</v>
      </c>
    </row>
    <row r="24" spans="2:6" ht="23.4">
      <c r="B24" s="21" t="s">
        <v>23</v>
      </c>
      <c r="C24" s="6" t="s">
        <v>8</v>
      </c>
      <c r="D24" s="6" t="s">
        <v>25</v>
      </c>
      <c r="E24" s="7">
        <v>61470</v>
      </c>
      <c r="F24" s="22">
        <v>18</v>
      </c>
    </row>
    <row r="25" spans="2:6" ht="23.4">
      <c r="B25" s="21" t="s">
        <v>26</v>
      </c>
      <c r="C25" s="6" t="s">
        <v>27</v>
      </c>
      <c r="D25" s="6" t="s">
        <v>17</v>
      </c>
      <c r="E25" s="7">
        <v>33774</v>
      </c>
      <c r="F25" s="22">
        <v>23</v>
      </c>
    </row>
    <row r="26" spans="2:6" ht="23.4">
      <c r="B26" s="21" t="s">
        <v>26</v>
      </c>
      <c r="C26" s="6" t="s">
        <v>27</v>
      </c>
      <c r="D26" s="6" t="s">
        <v>28</v>
      </c>
      <c r="E26" s="7">
        <v>60571</v>
      </c>
      <c r="F26" s="22">
        <v>17</v>
      </c>
    </row>
    <row r="27" spans="2:6" ht="23.4">
      <c r="B27" s="21" t="s">
        <v>26</v>
      </c>
      <c r="C27" s="6" t="s">
        <v>27</v>
      </c>
      <c r="D27" s="6" t="s">
        <v>15</v>
      </c>
      <c r="E27" s="7">
        <v>9748</v>
      </c>
      <c r="F27" s="22">
        <v>6</v>
      </c>
    </row>
    <row r="28" spans="2:6" ht="23.4">
      <c r="B28" s="21" t="s">
        <v>26</v>
      </c>
      <c r="C28" s="6" t="s">
        <v>27</v>
      </c>
      <c r="D28" s="6" t="s">
        <v>29</v>
      </c>
      <c r="E28" s="7">
        <v>6540</v>
      </c>
      <c r="F28" s="22">
        <v>15</v>
      </c>
    </row>
    <row r="29" spans="2:6" ht="23.4">
      <c r="B29" s="21" t="s">
        <v>26</v>
      </c>
      <c r="C29" s="6" t="s">
        <v>27</v>
      </c>
      <c r="D29" s="6" t="s">
        <v>25</v>
      </c>
      <c r="E29" s="7">
        <v>1208</v>
      </c>
      <c r="F29" s="22">
        <v>4</v>
      </c>
    </row>
    <row r="30" spans="2:6" ht="23.4">
      <c r="B30" s="21" t="s">
        <v>26</v>
      </c>
      <c r="C30" s="6" t="s">
        <v>27</v>
      </c>
      <c r="D30" s="6" t="s">
        <v>10</v>
      </c>
      <c r="E30" s="7">
        <v>16764</v>
      </c>
      <c r="F30" s="22">
        <v>6</v>
      </c>
    </row>
    <row r="31" spans="2:6" ht="23.4">
      <c r="B31" s="21" t="s">
        <v>26</v>
      </c>
      <c r="C31" s="6" t="s">
        <v>27</v>
      </c>
      <c r="D31" s="6" t="s">
        <v>11</v>
      </c>
      <c r="E31" s="7">
        <v>16812</v>
      </c>
      <c r="F31" s="22">
        <v>12</v>
      </c>
    </row>
    <row r="32" spans="2:6" ht="23.4">
      <c r="B32" s="21" t="s">
        <v>26</v>
      </c>
      <c r="C32" s="6" t="s">
        <v>27</v>
      </c>
      <c r="D32" s="6" t="s">
        <v>17</v>
      </c>
      <c r="E32" s="7">
        <v>66890</v>
      </c>
      <c r="F32" s="22">
        <v>20</v>
      </c>
    </row>
    <row r="33" spans="2:6" ht="23.4">
      <c r="B33" s="21" t="s">
        <v>26</v>
      </c>
      <c r="C33" s="6" t="s">
        <v>27</v>
      </c>
      <c r="D33" s="6" t="s">
        <v>25</v>
      </c>
      <c r="E33" s="7">
        <v>15533</v>
      </c>
      <c r="F33" s="22">
        <v>7</v>
      </c>
    </row>
    <row r="34" spans="2:6" ht="23.4">
      <c r="B34" s="21" t="s">
        <v>26</v>
      </c>
      <c r="C34" s="6" t="s">
        <v>27</v>
      </c>
      <c r="D34" s="6" t="s">
        <v>28</v>
      </c>
      <c r="E34" s="7">
        <v>1731</v>
      </c>
      <c r="F34" s="22">
        <v>1</v>
      </c>
    </row>
    <row r="35" spans="2:6" ht="23.4">
      <c r="B35" s="21" t="s">
        <v>26</v>
      </c>
      <c r="C35" s="6" t="s">
        <v>27</v>
      </c>
      <c r="D35" s="6" t="s">
        <v>25</v>
      </c>
      <c r="E35" s="7">
        <v>20592</v>
      </c>
      <c r="F35" s="22">
        <v>13</v>
      </c>
    </row>
    <row r="36" spans="2:6" ht="23.4">
      <c r="B36" s="21" t="s">
        <v>30</v>
      </c>
      <c r="C36" s="6" t="s">
        <v>31</v>
      </c>
      <c r="D36" s="6" t="s">
        <v>15</v>
      </c>
      <c r="E36" s="7">
        <v>64038</v>
      </c>
      <c r="F36" s="22">
        <v>13</v>
      </c>
    </row>
    <row r="37" spans="2:6" ht="23.4">
      <c r="B37" s="21" t="s">
        <v>30</v>
      </c>
      <c r="C37" s="6" t="s">
        <v>31</v>
      </c>
      <c r="D37" s="6" t="s">
        <v>9</v>
      </c>
      <c r="E37" s="7">
        <v>20655</v>
      </c>
      <c r="F37" s="22">
        <v>15</v>
      </c>
    </row>
    <row r="38" spans="2:6" ht="23.4">
      <c r="B38" s="21" t="s">
        <v>32</v>
      </c>
      <c r="C38" s="6" t="s">
        <v>32</v>
      </c>
      <c r="D38" s="6" t="s">
        <v>18</v>
      </c>
      <c r="E38" s="7">
        <v>57470</v>
      </c>
      <c r="F38" s="22">
        <v>14</v>
      </c>
    </row>
    <row r="39" spans="2:6" ht="23.4">
      <c r="B39" s="21" t="s">
        <v>32</v>
      </c>
      <c r="C39" s="6" t="s">
        <v>32</v>
      </c>
      <c r="D39" s="6" t="s">
        <v>11</v>
      </c>
      <c r="E39" s="7">
        <v>9321</v>
      </c>
      <c r="F39" s="22">
        <v>3</v>
      </c>
    </row>
    <row r="40" spans="2:6" ht="23.4">
      <c r="B40" s="21" t="s">
        <v>32</v>
      </c>
      <c r="C40" s="6" t="s">
        <v>32</v>
      </c>
      <c r="D40" s="6" t="s">
        <v>25</v>
      </c>
      <c r="E40" s="7">
        <v>26460</v>
      </c>
      <c r="F40" s="22">
        <v>9</v>
      </c>
    </row>
    <row r="41" spans="2:6" ht="23.4">
      <c r="B41" s="21" t="s">
        <v>32</v>
      </c>
      <c r="C41" s="6" t="s">
        <v>32</v>
      </c>
      <c r="D41" s="6" t="s">
        <v>29</v>
      </c>
      <c r="E41" s="7">
        <v>37972</v>
      </c>
      <c r="F41" s="22">
        <v>11</v>
      </c>
    </row>
    <row r="42" spans="2:6" ht="23.4">
      <c r="B42" s="21" t="s">
        <v>32</v>
      </c>
      <c r="C42" s="6" t="s">
        <v>32</v>
      </c>
      <c r="D42" s="6" t="s">
        <v>25</v>
      </c>
      <c r="E42" s="7">
        <v>90840</v>
      </c>
      <c r="F42" s="22">
        <v>20</v>
      </c>
    </row>
    <row r="43" spans="2:6" ht="23.4">
      <c r="B43" s="21" t="s">
        <v>33</v>
      </c>
      <c r="C43" s="6" t="s">
        <v>34</v>
      </c>
      <c r="D43" s="6" t="s">
        <v>15</v>
      </c>
      <c r="E43" s="7">
        <v>27172</v>
      </c>
      <c r="F43" s="22">
        <v>18</v>
      </c>
    </row>
    <row r="44" spans="2:6" ht="23.4">
      <c r="B44" s="21" t="s">
        <v>33</v>
      </c>
      <c r="C44" s="6" t="s">
        <v>34</v>
      </c>
      <c r="D44" s="6" t="s">
        <v>10</v>
      </c>
      <c r="E44" s="7">
        <v>79764</v>
      </c>
      <c r="F44" s="22">
        <v>17</v>
      </c>
    </row>
    <row r="45" spans="2:6" ht="23.4">
      <c r="B45" s="21" t="s">
        <v>33</v>
      </c>
      <c r="C45" s="6" t="s">
        <v>34</v>
      </c>
      <c r="D45" s="6" t="s">
        <v>10</v>
      </c>
      <c r="E45" s="7">
        <v>60128</v>
      </c>
      <c r="F45" s="22">
        <v>16</v>
      </c>
    </row>
    <row r="46" spans="2:6" ht="23.4">
      <c r="B46" s="21" t="s">
        <v>33</v>
      </c>
      <c r="C46" s="6" t="s">
        <v>34</v>
      </c>
      <c r="D46" s="6" t="s">
        <v>10</v>
      </c>
      <c r="E46" s="7">
        <v>15540</v>
      </c>
      <c r="F46" s="22">
        <v>5</v>
      </c>
    </row>
    <row r="47" spans="2:6" ht="23.4">
      <c r="B47" s="21" t="s">
        <v>33</v>
      </c>
      <c r="C47" s="6" t="s">
        <v>34</v>
      </c>
      <c r="D47" s="6" t="s">
        <v>10</v>
      </c>
      <c r="E47" s="7">
        <v>50141</v>
      </c>
      <c r="F47" s="22">
        <v>19</v>
      </c>
    </row>
    <row r="48" spans="2:6" ht="23.4">
      <c r="B48" s="21" t="s">
        <v>33</v>
      </c>
      <c r="C48" s="6" t="s">
        <v>34</v>
      </c>
      <c r="D48" s="6" t="s">
        <v>25</v>
      </c>
      <c r="E48" s="7">
        <v>28800</v>
      </c>
      <c r="F48" s="22">
        <v>16</v>
      </c>
    </row>
    <row r="49" spans="2:6" ht="23.4">
      <c r="B49" s="21" t="s">
        <v>35</v>
      </c>
      <c r="C49" s="6" t="s">
        <v>34</v>
      </c>
      <c r="D49" s="6" t="s">
        <v>17</v>
      </c>
      <c r="E49" s="7">
        <v>56797</v>
      </c>
      <c r="F49" s="22">
        <v>13</v>
      </c>
    </row>
    <row r="50" spans="2:6" ht="23.4">
      <c r="B50" s="21" t="s">
        <v>35</v>
      </c>
      <c r="C50" s="6" t="s">
        <v>34</v>
      </c>
      <c r="D50" s="6" t="s">
        <v>10</v>
      </c>
      <c r="E50" s="7">
        <v>16800</v>
      </c>
      <c r="F50" s="22">
        <v>7</v>
      </c>
    </row>
    <row r="51" spans="2:6" ht="23.4">
      <c r="B51" s="21" t="s">
        <v>35</v>
      </c>
      <c r="C51" s="6" t="s">
        <v>34</v>
      </c>
      <c r="D51" s="6" t="s">
        <v>25</v>
      </c>
      <c r="E51" s="7">
        <v>39344</v>
      </c>
      <c r="F51" s="22">
        <v>16</v>
      </c>
    </row>
    <row r="52" spans="2:6" ht="23.4">
      <c r="B52" s="21" t="s">
        <v>35</v>
      </c>
      <c r="C52" s="6" t="s">
        <v>34</v>
      </c>
      <c r="D52" s="6" t="s">
        <v>18</v>
      </c>
      <c r="E52" s="7">
        <v>23430</v>
      </c>
      <c r="F52" s="22">
        <v>6</v>
      </c>
    </row>
    <row r="53" spans="2:6" ht="23.4">
      <c r="B53" s="21" t="s">
        <v>35</v>
      </c>
      <c r="C53" s="6" t="s">
        <v>34</v>
      </c>
      <c r="D53" s="6" t="s">
        <v>24</v>
      </c>
      <c r="E53" s="7">
        <v>11040</v>
      </c>
      <c r="F53" s="22">
        <v>5</v>
      </c>
    </row>
    <row r="54" spans="2:6" ht="23.4">
      <c r="B54" s="21" t="s">
        <v>35</v>
      </c>
      <c r="C54" s="6" t="s">
        <v>34</v>
      </c>
      <c r="D54" s="6" t="s">
        <v>28</v>
      </c>
      <c r="E54" s="7">
        <v>25857</v>
      </c>
      <c r="F54" s="22">
        <v>17</v>
      </c>
    </row>
    <row r="55" spans="2:6" ht="23.4">
      <c r="B55" s="21" t="s">
        <v>35</v>
      </c>
      <c r="C55" s="6" t="s">
        <v>34</v>
      </c>
      <c r="D55" s="6" t="s">
        <v>15</v>
      </c>
      <c r="E55" s="7">
        <v>7695</v>
      </c>
      <c r="F55" s="22">
        <v>15</v>
      </c>
    </row>
    <row r="56" spans="2:6" ht="23.4">
      <c r="B56" s="21" t="s">
        <v>35</v>
      </c>
      <c r="C56" s="6" t="s">
        <v>34</v>
      </c>
      <c r="D56" s="6" t="s">
        <v>9</v>
      </c>
      <c r="E56" s="7">
        <v>423</v>
      </c>
      <c r="F56" s="22">
        <v>1</v>
      </c>
    </row>
    <row r="57" spans="2:6" ht="23.4">
      <c r="B57" s="21" t="s">
        <v>36</v>
      </c>
      <c r="C57" s="6" t="s">
        <v>37</v>
      </c>
      <c r="D57" s="6" t="s">
        <v>24</v>
      </c>
      <c r="E57" s="7">
        <v>36652</v>
      </c>
      <c r="F57" s="22">
        <v>11</v>
      </c>
    </row>
    <row r="58" spans="2:6" ht="23.4">
      <c r="B58" s="21" t="s">
        <v>36</v>
      </c>
      <c r="C58" s="6" t="s">
        <v>37</v>
      </c>
      <c r="D58" s="6" t="s">
        <v>15</v>
      </c>
      <c r="E58" s="7">
        <v>28632</v>
      </c>
      <c r="F58" s="22">
        <v>12</v>
      </c>
    </row>
    <row r="59" spans="2:6" ht="23.4">
      <c r="B59" s="21" t="s">
        <v>36</v>
      </c>
      <c r="C59" s="6" t="s">
        <v>37</v>
      </c>
      <c r="D59" s="6" t="s">
        <v>24</v>
      </c>
      <c r="E59" s="7">
        <v>97480</v>
      </c>
      <c r="F59" s="22">
        <v>20</v>
      </c>
    </row>
    <row r="60" spans="2:6" ht="23.4">
      <c r="B60" s="21" t="s">
        <v>36</v>
      </c>
      <c r="C60" s="6" t="s">
        <v>37</v>
      </c>
      <c r="D60" s="6" t="s">
        <v>18</v>
      </c>
      <c r="E60" s="7">
        <v>50240</v>
      </c>
      <c r="F60" s="22">
        <v>16</v>
      </c>
    </row>
    <row r="61" spans="2:6" ht="23.4">
      <c r="B61" s="21" t="s">
        <v>36</v>
      </c>
      <c r="C61" s="6" t="s">
        <v>37</v>
      </c>
      <c r="D61" s="6" t="s">
        <v>11</v>
      </c>
      <c r="E61" s="7">
        <v>33328</v>
      </c>
      <c r="F61" s="22">
        <v>16</v>
      </c>
    </row>
    <row r="62" spans="2:6" ht="23.4">
      <c r="B62" s="21" t="s">
        <v>36</v>
      </c>
      <c r="C62" s="6" t="s">
        <v>37</v>
      </c>
      <c r="D62" s="6" t="s">
        <v>28</v>
      </c>
      <c r="E62" s="7">
        <v>17040</v>
      </c>
      <c r="F62" s="22">
        <v>20</v>
      </c>
    </row>
    <row r="63" spans="2:6" ht="23.4">
      <c r="B63" s="21" t="s">
        <v>36</v>
      </c>
      <c r="C63" s="6" t="s">
        <v>37</v>
      </c>
      <c r="D63" s="6" t="s">
        <v>9</v>
      </c>
      <c r="E63" s="7">
        <v>29920</v>
      </c>
      <c r="F63" s="22">
        <v>11</v>
      </c>
    </row>
    <row r="64" spans="2:6" ht="23.4">
      <c r="B64" s="21" t="s">
        <v>36</v>
      </c>
      <c r="C64" s="6" t="s">
        <v>37</v>
      </c>
      <c r="D64" s="6" t="s">
        <v>9</v>
      </c>
      <c r="E64" s="7">
        <v>20465</v>
      </c>
      <c r="F64" s="22">
        <v>5</v>
      </c>
    </row>
    <row r="65" spans="2:6" ht="23.4">
      <c r="B65" s="21" t="s">
        <v>36</v>
      </c>
      <c r="C65" s="6" t="s">
        <v>37</v>
      </c>
      <c r="D65" s="6" t="s">
        <v>9</v>
      </c>
      <c r="E65" s="7">
        <v>5814</v>
      </c>
      <c r="F65" s="22">
        <v>6</v>
      </c>
    </row>
    <row r="66" spans="2:6" ht="23.4">
      <c r="B66" s="21" t="s">
        <v>36</v>
      </c>
      <c r="C66" s="6" t="s">
        <v>37</v>
      </c>
      <c r="D66" s="6" t="s">
        <v>25</v>
      </c>
      <c r="E66" s="7">
        <v>19761</v>
      </c>
      <c r="F66" s="22">
        <v>7</v>
      </c>
    </row>
    <row r="67" spans="2:6" ht="23.4">
      <c r="B67" s="21" t="s">
        <v>36</v>
      </c>
      <c r="C67" s="6" t="s">
        <v>37</v>
      </c>
      <c r="D67" s="6" t="s">
        <v>11</v>
      </c>
      <c r="E67" s="7">
        <v>83771</v>
      </c>
      <c r="F67" s="22">
        <v>19</v>
      </c>
    </row>
    <row r="68" spans="2:6" ht="23.4">
      <c r="B68" s="21" t="s">
        <v>36</v>
      </c>
      <c r="C68" s="6" t="s">
        <v>37</v>
      </c>
      <c r="D68" s="6" t="s">
        <v>25</v>
      </c>
      <c r="E68" s="7">
        <v>27812</v>
      </c>
      <c r="F68" s="22">
        <v>17</v>
      </c>
    </row>
    <row r="69" spans="2:6" ht="23.4">
      <c r="B69" s="21" t="s">
        <v>38</v>
      </c>
      <c r="C69" s="6" t="s">
        <v>38</v>
      </c>
      <c r="D69" s="6" t="s">
        <v>15</v>
      </c>
      <c r="E69" s="7">
        <v>24245</v>
      </c>
      <c r="F69" s="22">
        <v>13</v>
      </c>
    </row>
    <row r="70" spans="2:6" ht="23.4">
      <c r="B70" s="21" t="s">
        <v>38</v>
      </c>
      <c r="C70" s="6" t="s">
        <v>38</v>
      </c>
      <c r="D70" s="6" t="s">
        <v>17</v>
      </c>
      <c r="E70" s="7">
        <v>16160</v>
      </c>
      <c r="F70" s="22">
        <v>4</v>
      </c>
    </row>
    <row r="71" spans="2:6" ht="23.4">
      <c r="B71" s="21" t="s">
        <v>38</v>
      </c>
      <c r="C71" s="6" t="s">
        <v>38</v>
      </c>
      <c r="D71" s="6" t="s">
        <v>11</v>
      </c>
      <c r="E71" s="7">
        <v>7512</v>
      </c>
      <c r="F71" s="22">
        <v>4</v>
      </c>
    </row>
    <row r="72" spans="2:6" ht="23.4">
      <c r="B72" s="21" t="s">
        <v>38</v>
      </c>
      <c r="C72" s="6" t="s">
        <v>38</v>
      </c>
      <c r="D72" s="6" t="s">
        <v>24</v>
      </c>
      <c r="E72" s="7">
        <v>2041</v>
      </c>
      <c r="F72" s="22">
        <v>1</v>
      </c>
    </row>
    <row r="73" spans="2:6" ht="23.4">
      <c r="B73" s="21" t="s">
        <v>38</v>
      </c>
      <c r="C73" s="6" t="s">
        <v>38</v>
      </c>
      <c r="D73" s="6" t="s">
        <v>29</v>
      </c>
      <c r="E73" s="7">
        <v>58669</v>
      </c>
      <c r="F73" s="22">
        <v>13</v>
      </c>
    </row>
    <row r="74" spans="2:6" ht="23.4">
      <c r="B74" s="21" t="s">
        <v>38</v>
      </c>
      <c r="C74" s="6" t="s">
        <v>38</v>
      </c>
      <c r="D74" s="6" t="s">
        <v>29</v>
      </c>
      <c r="E74" s="7">
        <v>7397</v>
      </c>
      <c r="F74" s="22">
        <v>13</v>
      </c>
    </row>
    <row r="75" spans="2:6" ht="23.4">
      <c r="B75" s="21" t="s">
        <v>39</v>
      </c>
      <c r="C75" s="6" t="s">
        <v>40</v>
      </c>
      <c r="D75" s="6" t="s">
        <v>24</v>
      </c>
      <c r="E75" s="7">
        <v>8384</v>
      </c>
      <c r="F75" s="22">
        <v>4</v>
      </c>
    </row>
    <row r="76" spans="2:6" ht="23.4">
      <c r="B76" s="21" t="s">
        <v>39</v>
      </c>
      <c r="C76" s="6" t="s">
        <v>40</v>
      </c>
      <c r="D76" s="6" t="s">
        <v>28</v>
      </c>
      <c r="E76" s="7">
        <v>25050</v>
      </c>
      <c r="F76" s="22">
        <v>15</v>
      </c>
    </row>
    <row r="77" spans="2:6" ht="23.4">
      <c r="B77" s="21" t="s">
        <v>39</v>
      </c>
      <c r="C77" s="6" t="s">
        <v>40</v>
      </c>
      <c r="D77" s="6" t="s">
        <v>29</v>
      </c>
      <c r="E77" s="7">
        <v>35865</v>
      </c>
      <c r="F77" s="22">
        <v>9</v>
      </c>
    </row>
    <row r="78" spans="2:6" ht="23.4">
      <c r="B78" s="21" t="s">
        <v>39</v>
      </c>
      <c r="C78" s="6" t="s">
        <v>40</v>
      </c>
      <c r="D78" s="6" t="s">
        <v>24</v>
      </c>
      <c r="E78" s="7">
        <v>72000</v>
      </c>
      <c r="F78" s="22">
        <v>16</v>
      </c>
    </row>
    <row r="79" spans="2:6" ht="23.4">
      <c r="B79" s="21" t="s">
        <v>39</v>
      </c>
      <c r="C79" s="6" t="s">
        <v>40</v>
      </c>
      <c r="D79" s="6" t="s">
        <v>17</v>
      </c>
      <c r="E79" s="7">
        <v>18056</v>
      </c>
      <c r="F79" s="22">
        <v>8</v>
      </c>
    </row>
    <row r="80" spans="2:6" ht="23.4">
      <c r="B80" s="21" t="s">
        <v>39</v>
      </c>
      <c r="C80" s="6" t="s">
        <v>40</v>
      </c>
      <c r="D80" s="6" t="s">
        <v>17</v>
      </c>
      <c r="E80" s="7">
        <v>9825</v>
      </c>
      <c r="F80" s="22">
        <v>15</v>
      </c>
    </row>
    <row r="81" spans="2:6" ht="23.4">
      <c r="B81" s="21" t="s">
        <v>39</v>
      </c>
      <c r="C81" s="6" t="s">
        <v>40</v>
      </c>
      <c r="D81" s="6" t="s">
        <v>18</v>
      </c>
      <c r="E81" s="7">
        <v>68886</v>
      </c>
      <c r="F81" s="22">
        <v>18</v>
      </c>
    </row>
    <row r="82" spans="2:6" ht="23.4">
      <c r="B82" s="21" t="s">
        <v>41</v>
      </c>
      <c r="C82" s="6" t="s">
        <v>8</v>
      </c>
      <c r="D82" s="6" t="s">
        <v>17</v>
      </c>
      <c r="E82" s="7">
        <v>64200</v>
      </c>
      <c r="F82" s="22">
        <v>20</v>
      </c>
    </row>
    <row r="83" spans="2:6" ht="23.4">
      <c r="B83" s="21" t="s">
        <v>41</v>
      </c>
      <c r="C83" s="6" t="s">
        <v>8</v>
      </c>
      <c r="D83" s="6" t="s">
        <v>28</v>
      </c>
      <c r="E83" s="7">
        <v>10565</v>
      </c>
      <c r="F83" s="22">
        <v>5</v>
      </c>
    </row>
    <row r="84" spans="2:6" ht="23.4">
      <c r="B84" s="21" t="s">
        <v>41</v>
      </c>
      <c r="C84" s="6" t="s">
        <v>8</v>
      </c>
      <c r="D84" s="6" t="s">
        <v>15</v>
      </c>
      <c r="E84" s="7">
        <v>6999</v>
      </c>
      <c r="F84" s="22">
        <v>3</v>
      </c>
    </row>
    <row r="85" spans="2:6" ht="23.4">
      <c r="B85" s="21" t="s">
        <v>41</v>
      </c>
      <c r="C85" s="6" t="s">
        <v>8</v>
      </c>
      <c r="D85" s="6" t="s">
        <v>24</v>
      </c>
      <c r="E85" s="7">
        <v>23256</v>
      </c>
      <c r="F85" s="22">
        <v>8</v>
      </c>
    </row>
    <row r="86" spans="2:6" ht="23.4">
      <c r="B86" s="21" t="s">
        <v>42</v>
      </c>
      <c r="C86" s="6" t="s">
        <v>40</v>
      </c>
      <c r="D86" s="6" t="s">
        <v>28</v>
      </c>
      <c r="E86" s="7">
        <v>11958</v>
      </c>
      <c r="F86" s="22">
        <v>3</v>
      </c>
    </row>
    <row r="87" spans="2:6" ht="23.4">
      <c r="B87" s="21" t="s">
        <v>42</v>
      </c>
      <c r="C87" s="6" t="s">
        <v>40</v>
      </c>
      <c r="D87" s="6" t="s">
        <v>24</v>
      </c>
      <c r="E87" s="7">
        <v>36036</v>
      </c>
      <c r="F87" s="22">
        <v>13</v>
      </c>
    </row>
    <row r="88" spans="2:6" ht="23.4">
      <c r="B88" s="21" t="s">
        <v>42</v>
      </c>
      <c r="C88" s="6" t="s">
        <v>40</v>
      </c>
      <c r="D88" s="6" t="s">
        <v>17</v>
      </c>
      <c r="E88" s="7">
        <v>13360</v>
      </c>
      <c r="F88" s="22">
        <v>5</v>
      </c>
    </row>
    <row r="89" spans="2:6" ht="23.4">
      <c r="B89" s="21" t="s">
        <v>42</v>
      </c>
      <c r="C89" s="6" t="s">
        <v>40</v>
      </c>
      <c r="D89" s="6" t="s">
        <v>25</v>
      </c>
      <c r="E89" s="7">
        <v>7310</v>
      </c>
      <c r="F89" s="22">
        <v>5</v>
      </c>
    </row>
    <row r="90" spans="2:6" ht="23.4">
      <c r="B90" s="21" t="s">
        <v>42</v>
      </c>
      <c r="C90" s="6" t="s">
        <v>40</v>
      </c>
      <c r="D90" s="6" t="s">
        <v>10</v>
      </c>
      <c r="E90" s="7">
        <v>9600</v>
      </c>
      <c r="F90" s="22">
        <v>2</v>
      </c>
    </row>
    <row r="91" spans="2:6" ht="23.4">
      <c r="B91" s="21" t="s">
        <v>42</v>
      </c>
      <c r="C91" s="6" t="s">
        <v>40</v>
      </c>
      <c r="D91" s="6" t="s">
        <v>9</v>
      </c>
      <c r="E91" s="7">
        <v>22491</v>
      </c>
      <c r="F91" s="22">
        <v>7</v>
      </c>
    </row>
    <row r="92" spans="2:6" ht="23.4">
      <c r="B92" s="21" t="s">
        <v>42</v>
      </c>
      <c r="C92" s="6" t="s">
        <v>40</v>
      </c>
      <c r="D92" s="6" t="s">
        <v>29</v>
      </c>
      <c r="E92" s="7">
        <v>53985</v>
      </c>
      <c r="F92" s="22">
        <v>15</v>
      </c>
    </row>
    <row r="93" spans="2:6" ht="23.4">
      <c r="B93" s="21" t="s">
        <v>43</v>
      </c>
      <c r="C93" s="6" t="s">
        <v>44</v>
      </c>
      <c r="D93" s="6" t="s">
        <v>10</v>
      </c>
      <c r="E93" s="7">
        <v>15620</v>
      </c>
      <c r="F93" s="22">
        <v>11</v>
      </c>
    </row>
    <row r="94" spans="2:6" ht="23.4">
      <c r="B94" s="21" t="s">
        <v>43</v>
      </c>
      <c r="C94" s="6" t="s">
        <v>44</v>
      </c>
      <c r="D94" s="6" t="s">
        <v>29</v>
      </c>
      <c r="E94" s="7">
        <v>73692</v>
      </c>
      <c r="F94" s="22">
        <v>18</v>
      </c>
    </row>
    <row r="95" spans="2:6" ht="23.4">
      <c r="B95" s="21" t="s">
        <v>43</v>
      </c>
      <c r="C95" s="6" t="s">
        <v>44</v>
      </c>
      <c r="D95" s="6" t="s">
        <v>25</v>
      </c>
      <c r="E95" s="7">
        <v>18495</v>
      </c>
      <c r="F95" s="22">
        <v>5</v>
      </c>
    </row>
    <row r="96" spans="2:6" ht="23.4">
      <c r="B96" s="21" t="s">
        <v>43</v>
      </c>
      <c r="C96" s="6" t="s">
        <v>44</v>
      </c>
      <c r="D96" s="6" t="s">
        <v>10</v>
      </c>
      <c r="E96" s="7">
        <v>5287</v>
      </c>
      <c r="F96" s="22">
        <v>17</v>
      </c>
    </row>
    <row r="97" spans="2:6" ht="23.4">
      <c r="B97" s="21" t="s">
        <v>45</v>
      </c>
      <c r="C97" s="6" t="s">
        <v>31</v>
      </c>
      <c r="D97" s="6" t="s">
        <v>9</v>
      </c>
      <c r="E97" s="7">
        <v>62480</v>
      </c>
      <c r="F97" s="22">
        <v>20</v>
      </c>
    </row>
    <row r="98" spans="2:6" ht="23.4">
      <c r="B98" s="21" t="s">
        <v>45</v>
      </c>
      <c r="C98" s="6" t="s">
        <v>31</v>
      </c>
      <c r="D98" s="6" t="s">
        <v>10</v>
      </c>
      <c r="E98" s="7">
        <v>35503</v>
      </c>
      <c r="F98" s="22">
        <v>13</v>
      </c>
    </row>
    <row r="99" spans="2:6" ht="23.4">
      <c r="B99" s="21" t="s">
        <v>45</v>
      </c>
      <c r="C99" s="6" t="s">
        <v>31</v>
      </c>
      <c r="D99" s="6" t="s">
        <v>9</v>
      </c>
      <c r="E99" s="7">
        <v>32769</v>
      </c>
      <c r="F99" s="22">
        <v>9</v>
      </c>
    </row>
    <row r="100" spans="2:6" ht="23.4">
      <c r="B100" s="21" t="s">
        <v>45</v>
      </c>
      <c r="C100" s="6" t="s">
        <v>31</v>
      </c>
      <c r="D100" s="6" t="s">
        <v>15</v>
      </c>
      <c r="E100" s="7">
        <v>18165</v>
      </c>
      <c r="F100" s="22">
        <v>15</v>
      </c>
    </row>
    <row r="101" spans="2:6" ht="23.4">
      <c r="B101" s="21" t="s">
        <v>45</v>
      </c>
      <c r="C101" s="6" t="s">
        <v>31</v>
      </c>
      <c r="D101" s="6" t="s">
        <v>10</v>
      </c>
      <c r="E101" s="7">
        <v>18310</v>
      </c>
      <c r="F101" s="22">
        <v>10</v>
      </c>
    </row>
    <row r="102" spans="2:6" ht="23.4">
      <c r="B102" s="21" t="s">
        <v>46</v>
      </c>
      <c r="C102" s="6" t="s">
        <v>47</v>
      </c>
      <c r="D102" s="6" t="s">
        <v>15</v>
      </c>
      <c r="E102" s="7">
        <v>10905</v>
      </c>
      <c r="F102" s="22">
        <v>5</v>
      </c>
    </row>
    <row r="103" spans="2:6" ht="23.4">
      <c r="B103" s="21" t="s">
        <v>46</v>
      </c>
      <c r="C103" s="6" t="s">
        <v>47</v>
      </c>
      <c r="D103" s="6" t="s">
        <v>9</v>
      </c>
      <c r="E103" s="7">
        <v>23700</v>
      </c>
      <c r="F103" s="22">
        <v>20</v>
      </c>
    </row>
    <row r="104" spans="2:6" ht="23.4">
      <c r="B104" s="21" t="s">
        <v>46</v>
      </c>
      <c r="C104" s="6" t="s">
        <v>47</v>
      </c>
      <c r="D104" s="6" t="s">
        <v>10</v>
      </c>
      <c r="E104" s="7">
        <v>36138</v>
      </c>
      <c r="F104" s="22">
        <v>19</v>
      </c>
    </row>
    <row r="105" spans="2:6" ht="23.4">
      <c r="B105" s="21" t="s">
        <v>46</v>
      </c>
      <c r="C105" s="6" t="s">
        <v>47</v>
      </c>
      <c r="D105" s="6" t="s">
        <v>24</v>
      </c>
      <c r="E105" s="7">
        <v>4584</v>
      </c>
      <c r="F105" s="22">
        <v>12</v>
      </c>
    </row>
    <row r="106" spans="2:6" ht="23.4">
      <c r="B106" s="21" t="s">
        <v>48</v>
      </c>
      <c r="C106" s="6" t="s">
        <v>31</v>
      </c>
      <c r="D106" s="6" t="s">
        <v>25</v>
      </c>
      <c r="E106" s="7">
        <v>63798</v>
      </c>
      <c r="F106" s="22">
        <v>14</v>
      </c>
    </row>
    <row r="107" spans="2:6" ht="23.4">
      <c r="B107" s="21" t="s">
        <v>48</v>
      </c>
      <c r="C107" s="6" t="s">
        <v>31</v>
      </c>
      <c r="D107" s="6" t="s">
        <v>18</v>
      </c>
      <c r="E107" s="7">
        <v>35370</v>
      </c>
      <c r="F107" s="22">
        <v>18</v>
      </c>
    </row>
    <row r="108" spans="2:6" ht="23.4">
      <c r="B108" s="21" t="s">
        <v>48</v>
      </c>
      <c r="C108" s="6" t="s">
        <v>31</v>
      </c>
      <c r="D108" s="6" t="s">
        <v>18</v>
      </c>
      <c r="E108" s="7">
        <v>28098</v>
      </c>
      <c r="F108" s="22">
        <v>18</v>
      </c>
    </row>
    <row r="109" spans="2:6" ht="23.4">
      <c r="B109" s="21" t="s">
        <v>48</v>
      </c>
      <c r="C109" s="6" t="s">
        <v>31</v>
      </c>
      <c r="D109" s="6" t="s">
        <v>18</v>
      </c>
      <c r="E109" s="7">
        <v>68102</v>
      </c>
      <c r="F109" s="22">
        <v>17</v>
      </c>
    </row>
    <row r="110" spans="2:6" ht="23.4">
      <c r="B110" s="21" t="s">
        <v>48</v>
      </c>
      <c r="C110" s="6" t="s">
        <v>31</v>
      </c>
      <c r="D110" s="6" t="s">
        <v>17</v>
      </c>
      <c r="E110" s="7">
        <v>2545</v>
      </c>
      <c r="F110" s="22">
        <v>1</v>
      </c>
    </row>
    <row r="111" spans="2:6" ht="23.4">
      <c r="B111" s="21" t="s">
        <v>48</v>
      </c>
      <c r="C111" s="6" t="s">
        <v>31</v>
      </c>
      <c r="D111" s="6" t="s">
        <v>10</v>
      </c>
      <c r="E111" s="7">
        <v>36576</v>
      </c>
      <c r="F111" s="22">
        <v>8</v>
      </c>
    </row>
    <row r="112" spans="2:6" ht="23.4">
      <c r="B112" s="21" t="s">
        <v>48</v>
      </c>
      <c r="C112" s="6" t="s">
        <v>31</v>
      </c>
      <c r="D112" s="6" t="s">
        <v>9</v>
      </c>
      <c r="E112" s="7">
        <v>29326</v>
      </c>
      <c r="F112" s="22">
        <v>11</v>
      </c>
    </row>
    <row r="113" spans="2:6" ht="23.4">
      <c r="B113" s="21" t="s">
        <v>48</v>
      </c>
      <c r="C113" s="6" t="s">
        <v>31</v>
      </c>
      <c r="D113" s="6" t="s">
        <v>29</v>
      </c>
      <c r="E113" s="7">
        <v>7680</v>
      </c>
      <c r="F113" s="22">
        <v>16</v>
      </c>
    </row>
    <row r="114" spans="2:6" ht="23.4">
      <c r="B114" s="21" t="s">
        <v>49</v>
      </c>
      <c r="C114" s="6" t="s">
        <v>31</v>
      </c>
      <c r="D114" s="6" t="s">
        <v>10</v>
      </c>
      <c r="E114" s="7">
        <v>63225</v>
      </c>
      <c r="F114" s="22">
        <v>15</v>
      </c>
    </row>
    <row r="115" spans="2:6" ht="23.4">
      <c r="B115" s="21" t="s">
        <v>49</v>
      </c>
      <c r="C115" s="6" t="s">
        <v>31</v>
      </c>
      <c r="D115" s="6" t="s">
        <v>18</v>
      </c>
      <c r="E115" s="7">
        <v>28690</v>
      </c>
      <c r="F115" s="22">
        <v>10</v>
      </c>
    </row>
    <row r="116" spans="2:6" ht="23.4">
      <c r="B116" s="21" t="s">
        <v>49</v>
      </c>
      <c r="C116" s="6" t="s">
        <v>31</v>
      </c>
      <c r="D116" s="6" t="s">
        <v>28</v>
      </c>
      <c r="E116" s="7">
        <v>18000</v>
      </c>
      <c r="F116" s="22">
        <v>16</v>
      </c>
    </row>
    <row r="117" spans="2:6" ht="23.4">
      <c r="B117" s="21" t="s">
        <v>49</v>
      </c>
      <c r="C117" s="6" t="s">
        <v>31</v>
      </c>
      <c r="D117" s="6" t="s">
        <v>29</v>
      </c>
      <c r="E117" s="7">
        <v>20420</v>
      </c>
      <c r="F117" s="22">
        <v>10</v>
      </c>
    </row>
    <row r="118" spans="2:6" ht="23.4">
      <c r="B118" s="21" t="s">
        <v>49</v>
      </c>
      <c r="C118" s="6" t="s">
        <v>31</v>
      </c>
      <c r="D118" s="6" t="s">
        <v>24</v>
      </c>
      <c r="E118" s="7">
        <v>34140</v>
      </c>
      <c r="F118" s="22">
        <v>20</v>
      </c>
    </row>
    <row r="119" spans="2:6" ht="23.4">
      <c r="B119" s="21" t="s">
        <v>49</v>
      </c>
      <c r="C119" s="6" t="s">
        <v>31</v>
      </c>
      <c r="D119" s="6" t="s">
        <v>29</v>
      </c>
      <c r="E119" s="7">
        <v>3602</v>
      </c>
      <c r="F119" s="22">
        <v>1</v>
      </c>
    </row>
    <row r="120" spans="2:6" ht="23.4">
      <c r="B120" s="21" t="s">
        <v>50</v>
      </c>
      <c r="C120" s="6" t="s">
        <v>51</v>
      </c>
      <c r="D120" s="6" t="s">
        <v>28</v>
      </c>
      <c r="E120" s="7">
        <v>64170</v>
      </c>
      <c r="F120" s="22">
        <v>15</v>
      </c>
    </row>
    <row r="121" spans="2:6" ht="23.4">
      <c r="B121" s="21" t="s">
        <v>50</v>
      </c>
      <c r="C121" s="6" t="s">
        <v>51</v>
      </c>
      <c r="D121" s="6" t="s">
        <v>18</v>
      </c>
      <c r="E121" s="7">
        <v>98280</v>
      </c>
      <c r="F121" s="22">
        <v>20</v>
      </c>
    </row>
    <row r="122" spans="2:6" ht="23.4">
      <c r="B122" s="21" t="s">
        <v>50</v>
      </c>
      <c r="C122" s="6" t="s">
        <v>51</v>
      </c>
      <c r="D122" s="6" t="s">
        <v>28</v>
      </c>
      <c r="E122" s="7">
        <v>61778</v>
      </c>
      <c r="F122" s="22">
        <v>17</v>
      </c>
    </row>
    <row r="123" spans="2:6" ht="23.4">
      <c r="B123" s="21" t="s">
        <v>50</v>
      </c>
      <c r="C123" s="6" t="s">
        <v>51</v>
      </c>
      <c r="D123" s="6" t="s">
        <v>24</v>
      </c>
      <c r="E123" s="7">
        <v>65873</v>
      </c>
      <c r="F123" s="22">
        <v>19</v>
      </c>
    </row>
    <row r="124" spans="2:6" ht="23.4">
      <c r="B124" s="21" t="s">
        <v>50</v>
      </c>
      <c r="C124" s="6" t="s">
        <v>51</v>
      </c>
      <c r="D124" s="6" t="s">
        <v>17</v>
      </c>
      <c r="E124" s="7">
        <v>6410</v>
      </c>
      <c r="F124" s="22">
        <v>2</v>
      </c>
    </row>
    <row r="125" spans="2:6" ht="23.4">
      <c r="B125" s="21" t="s">
        <v>50</v>
      </c>
      <c r="C125" s="6" t="s">
        <v>51</v>
      </c>
      <c r="D125" s="6" t="s">
        <v>24</v>
      </c>
      <c r="E125" s="7">
        <v>46200</v>
      </c>
      <c r="F125" s="22">
        <v>14</v>
      </c>
    </row>
    <row r="126" spans="2:6" ht="23.4">
      <c r="B126" s="21" t="s">
        <v>52</v>
      </c>
      <c r="C126" s="6" t="s">
        <v>51</v>
      </c>
      <c r="D126" s="6" t="s">
        <v>18</v>
      </c>
      <c r="E126" s="7">
        <v>21091</v>
      </c>
      <c r="F126" s="22">
        <v>7</v>
      </c>
    </row>
    <row r="127" spans="2:6" ht="23.4">
      <c r="B127" s="21" t="s">
        <v>52</v>
      </c>
      <c r="C127" s="6" t="s">
        <v>51</v>
      </c>
      <c r="D127" s="6" t="s">
        <v>28</v>
      </c>
      <c r="E127" s="7">
        <v>68528</v>
      </c>
      <c r="F127" s="22">
        <v>16</v>
      </c>
    </row>
    <row r="128" spans="2:6" ht="23.4">
      <c r="B128" s="21" t="s">
        <v>52</v>
      </c>
      <c r="C128" s="6" t="s">
        <v>51</v>
      </c>
      <c r="D128" s="6" t="s">
        <v>10</v>
      </c>
      <c r="E128" s="7">
        <v>25068</v>
      </c>
      <c r="F128" s="22">
        <v>12</v>
      </c>
    </row>
    <row r="129" spans="2:6" ht="23.4">
      <c r="B129" s="21" t="s">
        <v>52</v>
      </c>
      <c r="C129" s="6" t="s">
        <v>51</v>
      </c>
      <c r="D129" s="6" t="s">
        <v>15</v>
      </c>
      <c r="E129" s="7">
        <v>65325</v>
      </c>
      <c r="F129" s="22">
        <v>15</v>
      </c>
    </row>
    <row r="130" spans="2:6" ht="23.4">
      <c r="B130" s="21" t="s">
        <v>52</v>
      </c>
      <c r="C130" s="6" t="s">
        <v>51</v>
      </c>
      <c r="D130" s="6" t="s">
        <v>17</v>
      </c>
      <c r="E130" s="7">
        <v>47826</v>
      </c>
      <c r="F130" s="22">
        <v>18</v>
      </c>
    </row>
    <row r="131" spans="2:6" ht="23.4">
      <c r="B131" s="21" t="s">
        <v>52</v>
      </c>
      <c r="C131" s="6" t="s">
        <v>51</v>
      </c>
      <c r="D131" s="6" t="s">
        <v>24</v>
      </c>
      <c r="E131" s="7">
        <v>24843</v>
      </c>
      <c r="F131" s="22">
        <v>7</v>
      </c>
    </row>
    <row r="132" spans="2:6" ht="23.4">
      <c r="B132" s="21" t="s">
        <v>52</v>
      </c>
      <c r="C132" s="6" t="s">
        <v>51</v>
      </c>
      <c r="D132" s="6" t="s">
        <v>9</v>
      </c>
      <c r="E132" s="7">
        <v>4480</v>
      </c>
      <c r="F132" s="22">
        <v>8</v>
      </c>
    </row>
    <row r="133" spans="2:6" ht="23.4">
      <c r="B133" s="21" t="s">
        <v>52</v>
      </c>
      <c r="C133" s="6" t="s">
        <v>51</v>
      </c>
      <c r="D133" s="6" t="s">
        <v>15</v>
      </c>
      <c r="E133" s="7">
        <v>34176</v>
      </c>
      <c r="F133" s="22">
        <v>12</v>
      </c>
    </row>
    <row r="134" spans="2:6" ht="23.4">
      <c r="B134" s="21" t="s">
        <v>52</v>
      </c>
      <c r="C134" s="6" t="s">
        <v>51</v>
      </c>
      <c r="D134" s="6" t="s">
        <v>24</v>
      </c>
      <c r="E134" s="7">
        <v>27280</v>
      </c>
      <c r="F134" s="22">
        <v>20</v>
      </c>
    </row>
    <row r="135" spans="2:6" ht="23.4">
      <c r="B135" s="21" t="s">
        <v>53</v>
      </c>
      <c r="C135" s="6" t="s">
        <v>8</v>
      </c>
      <c r="D135" s="6" t="s">
        <v>15</v>
      </c>
      <c r="E135" s="7">
        <v>12384</v>
      </c>
      <c r="F135" s="22">
        <v>12</v>
      </c>
    </row>
    <row r="136" spans="2:6" ht="23.4">
      <c r="B136" s="21" t="s">
        <v>53</v>
      </c>
      <c r="C136" s="6" t="s">
        <v>8</v>
      </c>
      <c r="D136" s="6" t="s">
        <v>11</v>
      </c>
      <c r="E136" s="7">
        <v>4476</v>
      </c>
      <c r="F136" s="22">
        <v>6</v>
      </c>
    </row>
    <row r="137" spans="2:6" ht="23.4">
      <c r="B137" s="21" t="s">
        <v>53</v>
      </c>
      <c r="C137" s="6" t="s">
        <v>8</v>
      </c>
      <c r="D137" s="6" t="s">
        <v>25</v>
      </c>
      <c r="E137" s="7">
        <v>8896</v>
      </c>
      <c r="F137" s="22">
        <v>4</v>
      </c>
    </row>
    <row r="138" spans="2:6" ht="23.4">
      <c r="B138" s="21" t="s">
        <v>53</v>
      </c>
      <c r="C138" s="6" t="s">
        <v>8</v>
      </c>
      <c r="D138" s="6" t="s">
        <v>24</v>
      </c>
      <c r="E138" s="7">
        <v>14620</v>
      </c>
      <c r="F138" s="22">
        <v>17</v>
      </c>
    </row>
    <row r="139" spans="2:6" ht="23.4">
      <c r="B139" s="21" t="s">
        <v>53</v>
      </c>
      <c r="C139" s="6" t="s">
        <v>8</v>
      </c>
      <c r="D139" s="6" t="s">
        <v>11</v>
      </c>
      <c r="E139" s="7">
        <v>1436</v>
      </c>
      <c r="F139" s="22">
        <v>4</v>
      </c>
    </row>
    <row r="140" spans="2:6" ht="23.4">
      <c r="B140" s="21" t="s">
        <v>53</v>
      </c>
      <c r="C140" s="6" t="s">
        <v>8</v>
      </c>
      <c r="D140" s="6" t="s">
        <v>28</v>
      </c>
      <c r="E140" s="7">
        <v>43440</v>
      </c>
      <c r="F140" s="22">
        <v>16</v>
      </c>
    </row>
    <row r="141" spans="2:6" ht="23.4">
      <c r="B141" s="21" t="s">
        <v>53</v>
      </c>
      <c r="C141" s="6" t="s">
        <v>8</v>
      </c>
      <c r="D141" s="6" t="s">
        <v>24</v>
      </c>
      <c r="E141" s="7">
        <v>27990</v>
      </c>
      <c r="F141" s="22">
        <v>6</v>
      </c>
    </row>
    <row r="142" spans="2:6" ht="23.4">
      <c r="B142" s="21" t="s">
        <v>54</v>
      </c>
      <c r="C142" s="6" t="s">
        <v>55</v>
      </c>
      <c r="D142" s="6" t="s">
        <v>17</v>
      </c>
      <c r="E142" s="7">
        <v>54223</v>
      </c>
      <c r="F142" s="22">
        <v>13</v>
      </c>
    </row>
    <row r="143" spans="2:6" ht="23.4">
      <c r="B143" s="21" t="s">
        <v>54</v>
      </c>
      <c r="C143" s="6" t="s">
        <v>55</v>
      </c>
      <c r="D143" s="6" t="s">
        <v>9</v>
      </c>
      <c r="E143" s="7">
        <v>48583</v>
      </c>
      <c r="F143" s="22">
        <v>19</v>
      </c>
    </row>
    <row r="144" spans="2:6" ht="23.4">
      <c r="B144" s="21" t="s">
        <v>54</v>
      </c>
      <c r="C144" s="6" t="s">
        <v>55</v>
      </c>
      <c r="D144" s="6" t="s">
        <v>17</v>
      </c>
      <c r="E144" s="7">
        <v>32626</v>
      </c>
      <c r="F144" s="22">
        <v>11</v>
      </c>
    </row>
    <row r="145" spans="2:6" ht="23.4">
      <c r="B145" s="21" t="s">
        <v>54</v>
      </c>
      <c r="C145" s="6" t="s">
        <v>55</v>
      </c>
      <c r="D145" s="6" t="s">
        <v>24</v>
      </c>
      <c r="E145" s="7">
        <v>704</v>
      </c>
      <c r="F145" s="22">
        <v>2</v>
      </c>
    </row>
    <row r="146" spans="2:6" ht="23.4">
      <c r="B146" s="21" t="s">
        <v>54</v>
      </c>
      <c r="C146" s="6" t="s">
        <v>55</v>
      </c>
      <c r="D146" s="6" t="s">
        <v>17</v>
      </c>
      <c r="E146" s="7">
        <v>49420</v>
      </c>
      <c r="F146" s="22">
        <v>14</v>
      </c>
    </row>
    <row r="147" spans="2:6" ht="23.4">
      <c r="B147" s="21" t="s">
        <v>54</v>
      </c>
      <c r="C147" s="6" t="s">
        <v>55</v>
      </c>
      <c r="D147" s="6" t="s">
        <v>25</v>
      </c>
      <c r="E147" s="7">
        <v>29380</v>
      </c>
      <c r="F147" s="22">
        <v>20</v>
      </c>
    </row>
    <row r="148" spans="2:6" ht="23.4">
      <c r="B148" s="21" t="s">
        <v>54</v>
      </c>
      <c r="C148" s="6" t="s">
        <v>55</v>
      </c>
      <c r="D148" s="6" t="s">
        <v>9</v>
      </c>
      <c r="E148" s="7">
        <v>74200</v>
      </c>
      <c r="F148" s="22">
        <v>20</v>
      </c>
    </row>
    <row r="149" spans="2:6" ht="23.4">
      <c r="B149" s="21" t="s">
        <v>56</v>
      </c>
      <c r="C149" s="6" t="s">
        <v>8</v>
      </c>
      <c r="D149" s="6" t="s">
        <v>11</v>
      </c>
      <c r="E149" s="7">
        <v>9119</v>
      </c>
      <c r="F149" s="22">
        <v>11</v>
      </c>
    </row>
    <row r="150" spans="2:6" ht="23.4">
      <c r="B150" s="21" t="s">
        <v>56</v>
      </c>
      <c r="C150" s="6" t="s">
        <v>8</v>
      </c>
      <c r="D150" s="6" t="s">
        <v>29</v>
      </c>
      <c r="E150" s="7">
        <v>10080</v>
      </c>
      <c r="F150" s="22">
        <v>6</v>
      </c>
    </row>
    <row r="151" spans="2:6" ht="23.4">
      <c r="B151" s="21" t="s">
        <v>56</v>
      </c>
      <c r="C151" s="6" t="s">
        <v>8</v>
      </c>
      <c r="D151" s="6" t="s">
        <v>24</v>
      </c>
      <c r="E151" s="7">
        <v>71262</v>
      </c>
      <c r="F151" s="22">
        <v>18</v>
      </c>
    </row>
    <row r="152" spans="2:6" ht="23.4">
      <c r="B152" s="21" t="s">
        <v>56</v>
      </c>
      <c r="C152" s="6" t="s">
        <v>8</v>
      </c>
      <c r="D152" s="6" t="s">
        <v>11</v>
      </c>
      <c r="E152" s="7">
        <v>32985</v>
      </c>
      <c r="F152" s="22">
        <v>15</v>
      </c>
    </row>
    <row r="153" spans="2:6" ht="23.4">
      <c r="B153" s="21" t="s">
        <v>56</v>
      </c>
      <c r="C153" s="6" t="s">
        <v>8</v>
      </c>
      <c r="D153" s="6" t="s">
        <v>29</v>
      </c>
      <c r="E153" s="7">
        <v>69020</v>
      </c>
      <c r="F153" s="22">
        <v>20</v>
      </c>
    </row>
    <row r="154" spans="2:6" ht="23.4">
      <c r="B154" s="21" t="s">
        <v>56</v>
      </c>
      <c r="C154" s="6" t="s">
        <v>8</v>
      </c>
      <c r="D154" s="6" t="s">
        <v>9</v>
      </c>
      <c r="E154" s="7">
        <v>20160</v>
      </c>
      <c r="F154" s="22">
        <v>20</v>
      </c>
    </row>
    <row r="155" spans="2:6" ht="23.4">
      <c r="B155" s="21" t="s">
        <v>57</v>
      </c>
      <c r="C155" s="6" t="s">
        <v>20</v>
      </c>
      <c r="D155" s="6" t="s">
        <v>15</v>
      </c>
      <c r="E155" s="7">
        <v>40140</v>
      </c>
      <c r="F155" s="22">
        <v>10</v>
      </c>
    </row>
    <row r="156" spans="2:6" ht="23.4">
      <c r="B156" s="21" t="s">
        <v>57</v>
      </c>
      <c r="C156" s="6" t="s">
        <v>20</v>
      </c>
      <c r="D156" s="6" t="s">
        <v>28</v>
      </c>
      <c r="E156" s="7">
        <v>22960</v>
      </c>
      <c r="F156" s="22">
        <v>8</v>
      </c>
    </row>
    <row r="157" spans="2:6" ht="23.4">
      <c r="B157" s="21" t="s">
        <v>57</v>
      </c>
      <c r="C157" s="6" t="s">
        <v>20</v>
      </c>
      <c r="D157" s="6" t="s">
        <v>18</v>
      </c>
      <c r="E157" s="7">
        <v>4128</v>
      </c>
      <c r="F157" s="22">
        <v>1</v>
      </c>
    </row>
    <row r="158" spans="2:6" ht="23.4">
      <c r="B158" s="21" t="s">
        <v>58</v>
      </c>
      <c r="C158" s="6" t="s">
        <v>34</v>
      </c>
      <c r="D158" s="6" t="s">
        <v>29</v>
      </c>
      <c r="E158" s="7">
        <v>13846</v>
      </c>
      <c r="F158" s="22">
        <v>14</v>
      </c>
    </row>
    <row r="159" spans="2:6" ht="23.4">
      <c r="B159" s="21" t="s">
        <v>58</v>
      </c>
      <c r="C159" s="6" t="s">
        <v>34</v>
      </c>
      <c r="D159" s="6" t="s">
        <v>28</v>
      </c>
      <c r="E159" s="7">
        <v>18580</v>
      </c>
      <c r="F159" s="22">
        <v>10</v>
      </c>
    </row>
    <row r="160" spans="2:6" ht="23.4">
      <c r="B160" s="21" t="s">
        <v>58</v>
      </c>
      <c r="C160" s="6" t="s">
        <v>34</v>
      </c>
      <c r="D160" s="6" t="s">
        <v>11</v>
      </c>
      <c r="E160" s="7">
        <v>39249</v>
      </c>
      <c r="F160" s="22">
        <v>9</v>
      </c>
    </row>
    <row r="161" spans="2:6" ht="23.4">
      <c r="B161" s="21" t="s">
        <v>58</v>
      </c>
      <c r="C161" s="6" t="s">
        <v>34</v>
      </c>
      <c r="D161" s="6" t="s">
        <v>15</v>
      </c>
      <c r="E161" s="7">
        <v>2332</v>
      </c>
      <c r="F161" s="22">
        <v>1</v>
      </c>
    </row>
    <row r="162" spans="2:6" ht="23.4">
      <c r="B162" s="21" t="s">
        <v>58</v>
      </c>
      <c r="C162" s="6" t="s">
        <v>34</v>
      </c>
      <c r="D162" s="6" t="s">
        <v>18</v>
      </c>
      <c r="E162" s="7">
        <v>5104</v>
      </c>
      <c r="F162" s="22">
        <v>11</v>
      </c>
    </row>
    <row r="163" spans="2:6" ht="23.4">
      <c r="B163" s="21" t="s">
        <v>58</v>
      </c>
      <c r="C163" s="6" t="s">
        <v>34</v>
      </c>
      <c r="D163" s="6" t="s">
        <v>29</v>
      </c>
      <c r="E163" s="7">
        <v>29621</v>
      </c>
      <c r="F163" s="22">
        <v>19</v>
      </c>
    </row>
    <row r="164" spans="2:6" ht="23.4">
      <c r="B164" s="21" t="s">
        <v>58</v>
      </c>
      <c r="C164" s="6" t="s">
        <v>34</v>
      </c>
      <c r="D164" s="6" t="s">
        <v>9</v>
      </c>
      <c r="E164" s="7">
        <v>20712</v>
      </c>
      <c r="F164" s="22">
        <v>12</v>
      </c>
    </row>
    <row r="165" spans="2:6" ht="23.4">
      <c r="B165" s="21" t="s">
        <v>58</v>
      </c>
      <c r="C165" s="6" t="s">
        <v>34</v>
      </c>
      <c r="D165" s="6" t="s">
        <v>11</v>
      </c>
      <c r="E165" s="7">
        <v>39767</v>
      </c>
      <c r="F165" s="22">
        <v>19</v>
      </c>
    </row>
    <row r="166" spans="2:6" ht="23.4">
      <c r="B166" s="21" t="s">
        <v>58</v>
      </c>
      <c r="C166" s="6" t="s">
        <v>34</v>
      </c>
      <c r="D166" s="6" t="s">
        <v>18</v>
      </c>
      <c r="E166" s="7">
        <v>58604</v>
      </c>
      <c r="F166" s="22">
        <v>13</v>
      </c>
    </row>
    <row r="167" spans="2:6" ht="23.4">
      <c r="B167" s="21" t="s">
        <v>58</v>
      </c>
      <c r="C167" s="6" t="s">
        <v>34</v>
      </c>
      <c r="D167" s="6" t="s">
        <v>9</v>
      </c>
      <c r="E167" s="7">
        <v>21800</v>
      </c>
      <c r="F167" s="22">
        <v>5</v>
      </c>
    </row>
    <row r="168" spans="2:6" ht="23.4">
      <c r="B168" s="21" t="s">
        <v>59</v>
      </c>
      <c r="C168" s="6" t="s">
        <v>27</v>
      </c>
      <c r="D168" s="6" t="s">
        <v>15</v>
      </c>
      <c r="E168" s="7">
        <v>25864</v>
      </c>
      <c r="F168" s="22">
        <v>8</v>
      </c>
    </row>
    <row r="169" spans="2:6" ht="23.4">
      <c r="B169" s="21" t="s">
        <v>59</v>
      </c>
      <c r="C169" s="6" t="s">
        <v>27</v>
      </c>
      <c r="D169" s="6" t="s">
        <v>9</v>
      </c>
      <c r="E169" s="7">
        <v>10962</v>
      </c>
      <c r="F169" s="22">
        <v>6</v>
      </c>
    </row>
    <row r="170" spans="2:6" ht="23.4">
      <c r="B170" s="21" t="s">
        <v>60</v>
      </c>
      <c r="C170" s="6" t="s">
        <v>8</v>
      </c>
      <c r="D170" s="6" t="s">
        <v>15</v>
      </c>
      <c r="E170" s="7">
        <v>4262</v>
      </c>
      <c r="F170" s="22">
        <v>1</v>
      </c>
    </row>
    <row r="171" spans="2:6" ht="23.4">
      <c r="B171" s="21" t="s">
        <v>60</v>
      </c>
      <c r="C171" s="6" t="s">
        <v>8</v>
      </c>
      <c r="D171" s="6" t="s">
        <v>29</v>
      </c>
      <c r="E171" s="7">
        <v>47682</v>
      </c>
      <c r="F171" s="22">
        <v>18</v>
      </c>
    </row>
    <row r="172" spans="2:6" ht="23.4">
      <c r="B172" s="21" t="s">
        <v>60</v>
      </c>
      <c r="C172" s="6" t="s">
        <v>8</v>
      </c>
      <c r="D172" s="6" t="s">
        <v>15</v>
      </c>
      <c r="E172" s="7">
        <v>13350</v>
      </c>
      <c r="F172" s="22">
        <v>6</v>
      </c>
    </row>
    <row r="173" spans="2:6" ht="23.4">
      <c r="B173" s="21" t="s">
        <v>60</v>
      </c>
      <c r="C173" s="6" t="s">
        <v>8</v>
      </c>
      <c r="D173" s="6" t="s">
        <v>29</v>
      </c>
      <c r="E173" s="7">
        <v>7910</v>
      </c>
      <c r="F173" s="22">
        <v>14</v>
      </c>
    </row>
    <row r="174" spans="2:6" ht="23.4">
      <c r="B174" s="21" t="s">
        <v>60</v>
      </c>
      <c r="C174" s="6" t="s">
        <v>8</v>
      </c>
      <c r="D174" s="6" t="s">
        <v>28</v>
      </c>
      <c r="E174" s="7">
        <v>35385</v>
      </c>
      <c r="F174" s="22">
        <v>15</v>
      </c>
    </row>
    <row r="175" spans="2:6" ht="23.4">
      <c r="B175" s="21" t="s">
        <v>60</v>
      </c>
      <c r="C175" s="6" t="s">
        <v>8</v>
      </c>
      <c r="D175" s="6" t="s">
        <v>29</v>
      </c>
      <c r="E175" s="7">
        <v>9720</v>
      </c>
      <c r="F175" s="22">
        <v>15</v>
      </c>
    </row>
    <row r="176" spans="2:6" ht="23.4">
      <c r="B176" s="21" t="s">
        <v>60</v>
      </c>
      <c r="C176" s="6" t="s">
        <v>8</v>
      </c>
      <c r="D176" s="6" t="s">
        <v>11</v>
      </c>
      <c r="E176" s="7">
        <v>10129</v>
      </c>
      <c r="F176" s="22">
        <v>7</v>
      </c>
    </row>
    <row r="177" spans="2:6" ht="23.4">
      <c r="B177" s="21" t="s">
        <v>60</v>
      </c>
      <c r="C177" s="6" t="s">
        <v>8</v>
      </c>
      <c r="D177" s="6" t="s">
        <v>11</v>
      </c>
      <c r="E177" s="7">
        <v>48125</v>
      </c>
      <c r="F177" s="22">
        <v>11</v>
      </c>
    </row>
    <row r="178" spans="2:6" ht="23.4">
      <c r="B178" s="21" t="s">
        <v>60</v>
      </c>
      <c r="C178" s="6" t="s">
        <v>8</v>
      </c>
      <c r="D178" s="6" t="s">
        <v>24</v>
      </c>
      <c r="E178" s="7">
        <v>70960</v>
      </c>
      <c r="F178" s="22">
        <v>16</v>
      </c>
    </row>
    <row r="179" spans="2:6" ht="23.4">
      <c r="B179" s="21" t="s">
        <v>61</v>
      </c>
      <c r="C179" s="6" t="s">
        <v>22</v>
      </c>
      <c r="D179" s="6" t="s">
        <v>9</v>
      </c>
      <c r="E179" s="7">
        <v>3172</v>
      </c>
      <c r="F179" s="22">
        <v>4</v>
      </c>
    </row>
    <row r="180" spans="2:6" ht="23.4">
      <c r="B180" s="21" t="s">
        <v>61</v>
      </c>
      <c r="C180" s="6" t="s">
        <v>22</v>
      </c>
      <c r="D180" s="6" t="s">
        <v>28</v>
      </c>
      <c r="E180" s="7">
        <v>15120</v>
      </c>
      <c r="F180" s="22">
        <v>20</v>
      </c>
    </row>
    <row r="181" spans="2:6" ht="23.4">
      <c r="B181" s="21" t="s">
        <v>61</v>
      </c>
      <c r="C181" s="6" t="s">
        <v>22</v>
      </c>
      <c r="D181" s="6" t="s">
        <v>25</v>
      </c>
      <c r="E181" s="7">
        <v>22500</v>
      </c>
      <c r="F181" s="22">
        <v>12</v>
      </c>
    </row>
    <row r="182" spans="2:6" ht="23.4">
      <c r="B182" s="21" t="s">
        <v>61</v>
      </c>
      <c r="C182" s="6" t="s">
        <v>22</v>
      </c>
      <c r="D182" s="6" t="s">
        <v>29</v>
      </c>
      <c r="E182" s="7">
        <v>54192</v>
      </c>
      <c r="F182" s="22">
        <v>16</v>
      </c>
    </row>
    <row r="183" spans="2:6" ht="23.4">
      <c r="B183" s="21" t="s">
        <v>61</v>
      </c>
      <c r="C183" s="6" t="s">
        <v>22</v>
      </c>
      <c r="D183" s="6" t="s">
        <v>17</v>
      </c>
      <c r="E183" s="7">
        <v>13488</v>
      </c>
      <c r="F183" s="22">
        <v>8</v>
      </c>
    </row>
    <row r="184" spans="2:6" ht="23.4">
      <c r="B184" s="21" t="s">
        <v>61</v>
      </c>
      <c r="C184" s="6" t="s">
        <v>22</v>
      </c>
      <c r="D184" s="6" t="s">
        <v>28</v>
      </c>
      <c r="E184" s="7">
        <v>2570</v>
      </c>
      <c r="F184" s="22">
        <v>5</v>
      </c>
    </row>
    <row r="185" spans="2:6" ht="23.4">
      <c r="B185" s="21" t="s">
        <v>61</v>
      </c>
      <c r="C185" s="6" t="s">
        <v>22</v>
      </c>
      <c r="D185" s="6" t="s">
        <v>9</v>
      </c>
      <c r="E185" s="7">
        <v>70740</v>
      </c>
      <c r="F185" s="22">
        <v>18</v>
      </c>
    </row>
    <row r="186" spans="2:6" ht="23.4">
      <c r="B186" s="21" t="s">
        <v>62</v>
      </c>
      <c r="C186" s="6" t="s">
        <v>27</v>
      </c>
      <c r="D186" s="6" t="s">
        <v>17</v>
      </c>
      <c r="E186" s="7">
        <v>5004</v>
      </c>
      <c r="F186" s="22">
        <v>3</v>
      </c>
    </row>
    <row r="187" spans="2:6" ht="23.4">
      <c r="B187" s="21" t="s">
        <v>62</v>
      </c>
      <c r="C187" s="6" t="s">
        <v>27</v>
      </c>
      <c r="D187" s="6" t="s">
        <v>9</v>
      </c>
      <c r="E187" s="7">
        <v>6816</v>
      </c>
      <c r="F187" s="22">
        <v>8</v>
      </c>
    </row>
    <row r="188" spans="2:6" ht="23.4">
      <c r="B188" s="21" t="s">
        <v>62</v>
      </c>
      <c r="C188" s="6" t="s">
        <v>27</v>
      </c>
      <c r="D188" s="6" t="s">
        <v>11</v>
      </c>
      <c r="E188" s="7">
        <v>17073</v>
      </c>
      <c r="F188" s="22">
        <v>7</v>
      </c>
    </row>
    <row r="189" spans="2:6" ht="23.4">
      <c r="B189" s="21" t="s">
        <v>62</v>
      </c>
      <c r="C189" s="6" t="s">
        <v>27</v>
      </c>
      <c r="D189" s="6" t="s">
        <v>24</v>
      </c>
      <c r="E189" s="7">
        <v>5440</v>
      </c>
      <c r="F189" s="22">
        <v>4</v>
      </c>
    </row>
    <row r="190" spans="2:6" ht="23.4">
      <c r="B190" s="21" t="s">
        <v>62</v>
      </c>
      <c r="C190" s="6" t="s">
        <v>27</v>
      </c>
      <c r="D190" s="6" t="s">
        <v>15</v>
      </c>
      <c r="E190" s="7">
        <v>79984</v>
      </c>
      <c r="F190" s="22">
        <v>16</v>
      </c>
    </row>
    <row r="191" spans="2:6" ht="23.4">
      <c r="B191" s="21" t="s">
        <v>62</v>
      </c>
      <c r="C191" s="6" t="s">
        <v>27</v>
      </c>
      <c r="D191" s="6" t="s">
        <v>15</v>
      </c>
      <c r="E191" s="7">
        <v>2037</v>
      </c>
      <c r="F191" s="22">
        <v>3</v>
      </c>
    </row>
    <row r="192" spans="2:6" ht="23.4">
      <c r="B192" s="21" t="s">
        <v>62</v>
      </c>
      <c r="C192" s="6" t="s">
        <v>27</v>
      </c>
      <c r="D192" s="6" t="s">
        <v>18</v>
      </c>
      <c r="E192" s="7">
        <v>27678</v>
      </c>
      <c r="F192" s="22">
        <v>6</v>
      </c>
    </row>
    <row r="193" spans="2:6" ht="23.4">
      <c r="B193" s="21" t="s">
        <v>63</v>
      </c>
      <c r="C193" s="6" t="s">
        <v>22</v>
      </c>
      <c r="D193" s="6" t="s">
        <v>11</v>
      </c>
      <c r="E193" s="7">
        <v>6732</v>
      </c>
      <c r="F193" s="22">
        <v>2</v>
      </c>
    </row>
    <row r="194" spans="2:6" ht="23.4">
      <c r="B194" s="21" t="s">
        <v>63</v>
      </c>
      <c r="C194" s="6" t="s">
        <v>22</v>
      </c>
      <c r="D194" s="6" t="s">
        <v>15</v>
      </c>
      <c r="E194" s="7">
        <v>41840</v>
      </c>
      <c r="F194" s="22">
        <v>20</v>
      </c>
    </row>
    <row r="195" spans="2:6" ht="23.4">
      <c r="B195" s="21" t="s">
        <v>63</v>
      </c>
      <c r="C195" s="6" t="s">
        <v>22</v>
      </c>
      <c r="D195" s="6" t="s">
        <v>9</v>
      </c>
      <c r="E195" s="7">
        <v>16611</v>
      </c>
      <c r="F195" s="22">
        <v>7</v>
      </c>
    </row>
    <row r="196" spans="2:6" ht="23.4">
      <c r="B196" s="21" t="s">
        <v>63</v>
      </c>
      <c r="C196" s="6" t="s">
        <v>22</v>
      </c>
      <c r="D196" s="6" t="s">
        <v>11</v>
      </c>
      <c r="E196" s="7">
        <v>53955</v>
      </c>
      <c r="F196" s="22">
        <v>15</v>
      </c>
    </row>
    <row r="197" spans="2:6" ht="23.4">
      <c r="B197" s="21" t="s">
        <v>63</v>
      </c>
      <c r="C197" s="6" t="s">
        <v>22</v>
      </c>
      <c r="D197" s="6" t="s">
        <v>10</v>
      </c>
      <c r="E197" s="7">
        <v>38110</v>
      </c>
      <c r="F197" s="22">
        <v>10</v>
      </c>
    </row>
    <row r="198" spans="2:6" ht="23.4">
      <c r="B198" s="21" t="s">
        <v>64</v>
      </c>
      <c r="C198" s="6" t="s">
        <v>22</v>
      </c>
      <c r="D198" s="6" t="s">
        <v>17</v>
      </c>
      <c r="E198" s="7">
        <v>18576</v>
      </c>
      <c r="F198" s="22">
        <v>6</v>
      </c>
    </row>
    <row r="199" spans="2:6" ht="23.4">
      <c r="B199" s="21" t="s">
        <v>64</v>
      </c>
      <c r="C199" s="6" t="s">
        <v>22</v>
      </c>
      <c r="D199" s="6" t="s">
        <v>17</v>
      </c>
      <c r="E199" s="7">
        <v>53736</v>
      </c>
      <c r="F199" s="22">
        <v>12</v>
      </c>
    </row>
    <row r="200" spans="2:6" ht="23.4">
      <c r="B200" s="21" t="s">
        <v>64</v>
      </c>
      <c r="C200" s="6" t="s">
        <v>22</v>
      </c>
      <c r="D200" s="6" t="s">
        <v>18</v>
      </c>
      <c r="E200" s="7">
        <v>52940</v>
      </c>
      <c r="F200" s="22">
        <v>20</v>
      </c>
    </row>
    <row r="201" spans="2:6" ht="23.4">
      <c r="B201" s="21" t="s">
        <v>64</v>
      </c>
      <c r="C201" s="6" t="s">
        <v>22</v>
      </c>
      <c r="D201" s="6" t="s">
        <v>11</v>
      </c>
      <c r="E201" s="7">
        <v>78217</v>
      </c>
      <c r="F201" s="22">
        <v>17</v>
      </c>
    </row>
    <row r="202" spans="2:6" ht="23.4">
      <c r="B202" s="21" t="s">
        <v>64</v>
      </c>
      <c r="C202" s="6" t="s">
        <v>22</v>
      </c>
      <c r="D202" s="6" t="s">
        <v>24</v>
      </c>
      <c r="E202" s="7">
        <v>15440</v>
      </c>
      <c r="F202" s="22">
        <v>20</v>
      </c>
    </row>
    <row r="203" spans="2:6" ht="23.4">
      <c r="B203" s="21" t="s">
        <v>65</v>
      </c>
      <c r="C203" s="6" t="s">
        <v>8</v>
      </c>
      <c r="D203" s="6" t="s">
        <v>24</v>
      </c>
      <c r="E203" s="7">
        <v>39936</v>
      </c>
      <c r="F203" s="22">
        <v>8</v>
      </c>
    </row>
    <row r="204" spans="2:6" ht="23.4">
      <c r="B204" s="21" t="s">
        <v>65</v>
      </c>
      <c r="C204" s="6" t="s">
        <v>8</v>
      </c>
      <c r="D204" s="6" t="s">
        <v>15</v>
      </c>
      <c r="E204" s="7">
        <v>9392</v>
      </c>
      <c r="F204" s="22">
        <v>4</v>
      </c>
    </row>
    <row r="205" spans="2:6" ht="23.4">
      <c r="B205" s="21" t="s">
        <v>65</v>
      </c>
      <c r="C205" s="6" t="s">
        <v>8</v>
      </c>
      <c r="D205" s="6" t="s">
        <v>11</v>
      </c>
      <c r="E205" s="7">
        <v>33642</v>
      </c>
      <c r="F205" s="22">
        <v>7</v>
      </c>
    </row>
    <row r="206" spans="2:6" ht="23.4">
      <c r="B206" s="21" t="s">
        <v>65</v>
      </c>
      <c r="C206" s="6" t="s">
        <v>8</v>
      </c>
      <c r="D206" s="6" t="s">
        <v>11</v>
      </c>
      <c r="E206" s="7">
        <v>29799</v>
      </c>
      <c r="F206" s="22">
        <v>7</v>
      </c>
    </row>
    <row r="207" spans="2:6" ht="23.4">
      <c r="B207" s="21" t="s">
        <v>65</v>
      </c>
      <c r="C207" s="6" t="s">
        <v>8</v>
      </c>
      <c r="D207" s="6" t="s">
        <v>11</v>
      </c>
      <c r="E207" s="7">
        <v>38836</v>
      </c>
      <c r="F207" s="22">
        <v>19</v>
      </c>
    </row>
    <row r="208" spans="2:6" ht="23.4">
      <c r="B208" s="21" t="s">
        <v>66</v>
      </c>
      <c r="C208" s="6" t="s">
        <v>67</v>
      </c>
      <c r="D208" s="6" t="s">
        <v>17</v>
      </c>
      <c r="E208" s="7">
        <v>82110</v>
      </c>
      <c r="F208" s="22">
        <v>17</v>
      </c>
    </row>
    <row r="209" spans="2:6" ht="23.4">
      <c r="B209" s="21" t="s">
        <v>66</v>
      </c>
      <c r="C209" s="6" t="s">
        <v>67</v>
      </c>
      <c r="D209" s="6" t="s">
        <v>28</v>
      </c>
      <c r="E209" s="7">
        <v>29648</v>
      </c>
      <c r="F209" s="22">
        <v>16</v>
      </c>
    </row>
    <row r="210" spans="2:6" ht="23.4">
      <c r="B210" s="21" t="s">
        <v>66</v>
      </c>
      <c r="C210" s="6" t="s">
        <v>67</v>
      </c>
      <c r="D210" s="6" t="s">
        <v>28</v>
      </c>
      <c r="E210" s="7">
        <v>22872</v>
      </c>
      <c r="F210" s="22">
        <v>6</v>
      </c>
    </row>
    <row r="211" spans="2:6" ht="23.4">
      <c r="B211" s="21" t="s">
        <v>66</v>
      </c>
      <c r="C211" s="6" t="s">
        <v>67</v>
      </c>
      <c r="D211" s="6" t="s">
        <v>25</v>
      </c>
      <c r="E211" s="7">
        <v>68580</v>
      </c>
      <c r="F211" s="22">
        <v>15</v>
      </c>
    </row>
    <row r="212" spans="2:6" ht="23.4">
      <c r="B212" s="21" t="s">
        <v>66</v>
      </c>
      <c r="C212" s="6" t="s">
        <v>67</v>
      </c>
      <c r="D212" s="6" t="s">
        <v>15</v>
      </c>
      <c r="E212" s="7">
        <v>74540</v>
      </c>
      <c r="F212" s="22">
        <v>20</v>
      </c>
    </row>
    <row r="213" spans="2:6" ht="23.4">
      <c r="B213" s="21" t="s">
        <v>68</v>
      </c>
      <c r="C213" s="6" t="s">
        <v>22</v>
      </c>
      <c r="D213" s="6" t="s">
        <v>25</v>
      </c>
      <c r="E213" s="7">
        <v>5022</v>
      </c>
      <c r="F213" s="22">
        <v>6</v>
      </c>
    </row>
    <row r="214" spans="2:6" ht="23.4">
      <c r="B214" s="21" t="s">
        <v>68</v>
      </c>
      <c r="C214" s="6" t="s">
        <v>22</v>
      </c>
      <c r="D214" s="6" t="s">
        <v>15</v>
      </c>
      <c r="E214" s="7">
        <v>41094</v>
      </c>
      <c r="F214" s="22">
        <v>18</v>
      </c>
    </row>
    <row r="215" spans="2:6" ht="23.4">
      <c r="B215" s="21" t="s">
        <v>68</v>
      </c>
      <c r="C215" s="6" t="s">
        <v>22</v>
      </c>
      <c r="D215" s="6" t="s">
        <v>29</v>
      </c>
      <c r="E215" s="7">
        <v>2178</v>
      </c>
      <c r="F215" s="22">
        <v>9</v>
      </c>
    </row>
    <row r="216" spans="2:6" ht="23.4">
      <c r="B216" s="21" t="s">
        <v>68</v>
      </c>
      <c r="C216" s="6" t="s">
        <v>22</v>
      </c>
      <c r="D216" s="6" t="s">
        <v>18</v>
      </c>
      <c r="E216" s="7">
        <v>3620</v>
      </c>
      <c r="F216" s="22">
        <v>2</v>
      </c>
    </row>
    <row r="217" spans="2:6" ht="23.4">
      <c r="B217" s="21" t="s">
        <v>68</v>
      </c>
      <c r="C217" s="6" t="s">
        <v>22</v>
      </c>
      <c r="D217" s="6" t="s">
        <v>28</v>
      </c>
      <c r="E217" s="7">
        <v>19695</v>
      </c>
      <c r="F217" s="22">
        <v>13</v>
      </c>
    </row>
    <row r="218" spans="2:6" ht="23.4">
      <c r="B218" s="21" t="s">
        <v>69</v>
      </c>
      <c r="C218" s="6" t="s">
        <v>70</v>
      </c>
      <c r="D218" s="6" t="s">
        <v>25</v>
      </c>
      <c r="E218" s="7">
        <v>1584</v>
      </c>
      <c r="F218" s="22">
        <v>1</v>
      </c>
    </row>
    <row r="219" spans="2:6" ht="23.4">
      <c r="B219" s="21" t="s">
        <v>69</v>
      </c>
      <c r="C219" s="6" t="s">
        <v>70</v>
      </c>
      <c r="D219" s="6" t="s">
        <v>10</v>
      </c>
      <c r="E219" s="7">
        <v>22768</v>
      </c>
      <c r="F219" s="22">
        <v>8</v>
      </c>
    </row>
    <row r="220" spans="2:6" ht="23.4">
      <c r="B220" s="21" t="s">
        <v>69</v>
      </c>
      <c r="C220" s="6" t="s">
        <v>70</v>
      </c>
      <c r="D220" s="6" t="s">
        <v>18</v>
      </c>
      <c r="E220" s="7">
        <v>841</v>
      </c>
      <c r="F220" s="22">
        <v>1</v>
      </c>
    </row>
    <row r="221" spans="2:6" ht="23.4">
      <c r="B221" s="21" t="s">
        <v>69</v>
      </c>
      <c r="C221" s="6" t="s">
        <v>70</v>
      </c>
      <c r="D221" s="6" t="s">
        <v>15</v>
      </c>
      <c r="E221" s="7">
        <v>14112</v>
      </c>
      <c r="F221" s="22">
        <v>14</v>
      </c>
    </row>
    <row r="222" spans="2:6" ht="23.4">
      <c r="B222" s="21" t="s">
        <v>71</v>
      </c>
      <c r="C222" s="6" t="s">
        <v>14</v>
      </c>
      <c r="D222" s="6" t="s">
        <v>9</v>
      </c>
      <c r="E222" s="7">
        <v>20539</v>
      </c>
      <c r="F222" s="22">
        <v>19</v>
      </c>
    </row>
    <row r="223" spans="2:6" ht="23.4">
      <c r="B223" s="21" t="s">
        <v>71</v>
      </c>
      <c r="C223" s="6" t="s">
        <v>14</v>
      </c>
      <c r="D223" s="6" t="s">
        <v>29</v>
      </c>
      <c r="E223" s="7">
        <v>1840</v>
      </c>
      <c r="F223" s="22">
        <v>5</v>
      </c>
    </row>
    <row r="224" spans="2:6" ht="23.4">
      <c r="B224" s="21" t="s">
        <v>71</v>
      </c>
      <c r="C224" s="6" t="s">
        <v>14</v>
      </c>
      <c r="D224" s="6" t="s">
        <v>18</v>
      </c>
      <c r="E224" s="7">
        <v>18528</v>
      </c>
      <c r="F224" s="22">
        <v>8</v>
      </c>
    </row>
    <row r="225" spans="2:6" ht="23.4">
      <c r="B225" s="21" t="s">
        <v>71</v>
      </c>
      <c r="C225" s="6" t="s">
        <v>14</v>
      </c>
      <c r="D225" s="6" t="s">
        <v>29</v>
      </c>
      <c r="E225" s="7">
        <v>40781</v>
      </c>
      <c r="F225" s="22">
        <v>13</v>
      </c>
    </row>
    <row r="226" spans="2:6" ht="23.4">
      <c r="B226" s="21" t="s">
        <v>71</v>
      </c>
      <c r="C226" s="6" t="s">
        <v>14</v>
      </c>
      <c r="D226" s="6" t="s">
        <v>15</v>
      </c>
      <c r="E226" s="7">
        <v>16112</v>
      </c>
      <c r="F226" s="22">
        <v>16</v>
      </c>
    </row>
    <row r="227" spans="2:6" ht="23.4">
      <c r="B227" s="21" t="s">
        <v>71</v>
      </c>
      <c r="C227" s="6" t="s">
        <v>14</v>
      </c>
      <c r="D227" s="6" t="s">
        <v>9</v>
      </c>
      <c r="E227" s="7">
        <v>26946</v>
      </c>
      <c r="F227" s="22">
        <v>6</v>
      </c>
    </row>
    <row r="228" spans="2:6" ht="23.4">
      <c r="B228" s="21" t="s">
        <v>72</v>
      </c>
      <c r="C228" s="6" t="s">
        <v>73</v>
      </c>
      <c r="D228" s="6" t="s">
        <v>10</v>
      </c>
      <c r="E228" s="7">
        <v>6246</v>
      </c>
      <c r="F228" s="22">
        <v>3</v>
      </c>
    </row>
    <row r="229" spans="2:6" ht="23.4">
      <c r="B229" s="21" t="s">
        <v>72</v>
      </c>
      <c r="C229" s="6" t="s">
        <v>73</v>
      </c>
      <c r="D229" s="6" t="s">
        <v>17</v>
      </c>
      <c r="E229" s="7">
        <v>79800</v>
      </c>
      <c r="F229" s="22">
        <v>19</v>
      </c>
    </row>
    <row r="230" spans="2:6" ht="23.4">
      <c r="B230" s="21" t="s">
        <v>72</v>
      </c>
      <c r="C230" s="6" t="s">
        <v>73</v>
      </c>
      <c r="D230" s="6" t="s">
        <v>24</v>
      </c>
      <c r="E230" s="7">
        <v>33232</v>
      </c>
      <c r="F230" s="22">
        <v>8</v>
      </c>
    </row>
    <row r="231" spans="2:6" ht="23.4">
      <c r="B231" s="21" t="s">
        <v>72</v>
      </c>
      <c r="C231" s="6" t="s">
        <v>73</v>
      </c>
      <c r="D231" s="6" t="s">
        <v>10</v>
      </c>
      <c r="E231" s="7">
        <v>2904</v>
      </c>
      <c r="F231" s="22">
        <v>12</v>
      </c>
    </row>
    <row r="232" spans="2:6" ht="23.4">
      <c r="B232" s="21" t="s">
        <v>72</v>
      </c>
      <c r="C232" s="6" t="s">
        <v>73</v>
      </c>
      <c r="D232" s="6" t="s">
        <v>15</v>
      </c>
      <c r="E232" s="7">
        <v>41760</v>
      </c>
      <c r="F232" s="22">
        <v>10</v>
      </c>
    </row>
    <row r="233" spans="2:6" ht="23.4">
      <c r="B233" s="21" t="s">
        <v>72</v>
      </c>
      <c r="C233" s="6" t="s">
        <v>73</v>
      </c>
      <c r="D233" s="6" t="s">
        <v>17</v>
      </c>
      <c r="E233" s="7">
        <v>2441</v>
      </c>
      <c r="F233" s="22">
        <v>1</v>
      </c>
    </row>
    <row r="234" spans="2:6" ht="23.4">
      <c r="B234" s="21" t="s">
        <v>72</v>
      </c>
      <c r="C234" s="6" t="s">
        <v>73</v>
      </c>
      <c r="D234" s="6" t="s">
        <v>11</v>
      </c>
      <c r="E234" s="7">
        <v>76032</v>
      </c>
      <c r="F234" s="22">
        <v>18</v>
      </c>
    </row>
    <row r="235" spans="2:6" ht="23.4">
      <c r="B235" s="21" t="s">
        <v>72</v>
      </c>
      <c r="C235" s="6" t="s">
        <v>73</v>
      </c>
      <c r="D235" s="6" t="s">
        <v>17</v>
      </c>
      <c r="E235" s="7">
        <v>33952</v>
      </c>
      <c r="F235" s="22">
        <v>8</v>
      </c>
    </row>
    <row r="236" spans="2:6" ht="23.4">
      <c r="B236" s="21" t="s">
        <v>72</v>
      </c>
      <c r="C236" s="6" t="s">
        <v>73</v>
      </c>
      <c r="D236" s="6" t="s">
        <v>25</v>
      </c>
      <c r="E236" s="7">
        <v>61040</v>
      </c>
      <c r="F236" s="22">
        <v>20</v>
      </c>
    </row>
    <row r="237" spans="2:6" ht="23.4">
      <c r="B237" s="21" t="s">
        <v>72</v>
      </c>
      <c r="C237" s="6" t="s">
        <v>73</v>
      </c>
      <c r="D237" s="6" t="s">
        <v>29</v>
      </c>
      <c r="E237" s="7">
        <v>1510</v>
      </c>
      <c r="F237" s="22">
        <v>5</v>
      </c>
    </row>
    <row r="238" spans="2:6" ht="23.4">
      <c r="B238" s="21" t="s">
        <v>74</v>
      </c>
      <c r="C238" s="6" t="s">
        <v>34</v>
      </c>
      <c r="D238" s="6" t="s">
        <v>17</v>
      </c>
      <c r="E238" s="7">
        <v>11916</v>
      </c>
      <c r="F238" s="22">
        <v>9</v>
      </c>
    </row>
    <row r="239" spans="2:6" ht="23.4">
      <c r="B239" s="21" t="s">
        <v>74</v>
      </c>
      <c r="C239" s="6" t="s">
        <v>34</v>
      </c>
      <c r="D239" s="6" t="s">
        <v>25</v>
      </c>
      <c r="E239" s="7">
        <v>13500</v>
      </c>
      <c r="F239" s="22">
        <v>10</v>
      </c>
    </row>
    <row r="240" spans="2:6" ht="23.4">
      <c r="B240" s="21" t="s">
        <v>74</v>
      </c>
      <c r="C240" s="6" t="s">
        <v>34</v>
      </c>
      <c r="D240" s="6" t="s">
        <v>29</v>
      </c>
      <c r="E240" s="7">
        <v>4150</v>
      </c>
      <c r="F240" s="22">
        <v>5</v>
      </c>
    </row>
    <row r="241" spans="2:6" ht="23.4">
      <c r="B241" s="21" t="s">
        <v>74</v>
      </c>
      <c r="C241" s="6" t="s">
        <v>34</v>
      </c>
      <c r="D241" s="6" t="s">
        <v>15</v>
      </c>
      <c r="E241" s="7">
        <v>988</v>
      </c>
      <c r="F241" s="22">
        <v>4</v>
      </c>
    </row>
    <row r="242" spans="2:6" ht="23.4">
      <c r="B242" s="21" t="s">
        <v>74</v>
      </c>
      <c r="C242" s="6" t="s">
        <v>34</v>
      </c>
      <c r="D242" s="6" t="s">
        <v>17</v>
      </c>
      <c r="E242" s="7">
        <v>60073</v>
      </c>
      <c r="F242" s="22">
        <v>13</v>
      </c>
    </row>
    <row r="243" spans="2:6" ht="23.4">
      <c r="B243" s="21" t="s">
        <v>75</v>
      </c>
      <c r="C243" s="6" t="s">
        <v>14</v>
      </c>
      <c r="D243" s="6" t="s">
        <v>10</v>
      </c>
      <c r="E243" s="7">
        <v>37610</v>
      </c>
      <c r="F243" s="22">
        <v>10</v>
      </c>
    </row>
    <row r="244" spans="2:6" ht="23.4">
      <c r="B244" s="21" t="s">
        <v>75</v>
      </c>
      <c r="C244" s="6" t="s">
        <v>14</v>
      </c>
      <c r="D244" s="6" t="s">
        <v>18</v>
      </c>
      <c r="E244" s="7">
        <v>62475</v>
      </c>
      <c r="F244" s="22">
        <v>17</v>
      </c>
    </row>
    <row r="245" spans="2:6" ht="23.4">
      <c r="B245" s="21" t="s">
        <v>75</v>
      </c>
      <c r="C245" s="6" t="s">
        <v>14</v>
      </c>
      <c r="D245" s="6" t="s">
        <v>28</v>
      </c>
      <c r="E245" s="7">
        <v>40460</v>
      </c>
      <c r="F245" s="22">
        <v>10</v>
      </c>
    </row>
    <row r="246" spans="2:6" ht="23.4">
      <c r="B246" s="21" t="s">
        <v>75</v>
      </c>
      <c r="C246" s="6" t="s">
        <v>14</v>
      </c>
      <c r="D246" s="6" t="s">
        <v>17</v>
      </c>
      <c r="E246" s="7">
        <v>16828</v>
      </c>
      <c r="F246" s="22">
        <v>7</v>
      </c>
    </row>
    <row r="247" spans="2:6" ht="23.4">
      <c r="B247" s="21" t="s">
        <v>75</v>
      </c>
      <c r="C247" s="6" t="s">
        <v>14</v>
      </c>
      <c r="D247" s="6" t="s">
        <v>29</v>
      </c>
      <c r="E247" s="7">
        <v>56460</v>
      </c>
      <c r="F247" s="22">
        <v>15</v>
      </c>
    </row>
    <row r="248" spans="2:6" ht="23.4">
      <c r="B248" s="21" t="s">
        <v>75</v>
      </c>
      <c r="C248" s="6" t="s">
        <v>14</v>
      </c>
      <c r="D248" s="6" t="s">
        <v>11</v>
      </c>
      <c r="E248" s="7">
        <v>6456</v>
      </c>
      <c r="F248" s="22">
        <v>8</v>
      </c>
    </row>
    <row r="249" spans="2:6" ht="23.4">
      <c r="B249" s="21" t="s">
        <v>76</v>
      </c>
      <c r="C249" s="6" t="s">
        <v>77</v>
      </c>
      <c r="D249" s="6" t="s">
        <v>9</v>
      </c>
      <c r="E249" s="7">
        <v>34816</v>
      </c>
      <c r="F249" s="22">
        <v>17</v>
      </c>
    </row>
    <row r="250" spans="2:6" ht="23.4">
      <c r="B250" s="21" t="s">
        <v>76</v>
      </c>
      <c r="C250" s="6" t="s">
        <v>77</v>
      </c>
      <c r="D250" s="6" t="s">
        <v>15</v>
      </c>
      <c r="E250" s="7">
        <v>1368</v>
      </c>
      <c r="F250" s="22">
        <v>3</v>
      </c>
    </row>
    <row r="251" spans="2:6" ht="23.4">
      <c r="B251" s="21" t="s">
        <v>76</v>
      </c>
      <c r="C251" s="6" t="s">
        <v>77</v>
      </c>
      <c r="D251" s="6" t="s">
        <v>24</v>
      </c>
      <c r="E251" s="7">
        <v>23576</v>
      </c>
      <c r="F251" s="22">
        <v>14</v>
      </c>
    </row>
    <row r="252" spans="2:6" ht="23.4">
      <c r="B252" s="21" t="s">
        <v>76</v>
      </c>
      <c r="C252" s="6" t="s">
        <v>77</v>
      </c>
      <c r="D252" s="6" t="s">
        <v>24</v>
      </c>
      <c r="E252" s="7">
        <v>71200</v>
      </c>
      <c r="F252" s="22">
        <v>16</v>
      </c>
    </row>
    <row r="253" spans="2:6" ht="23.4">
      <c r="B253" s="21" t="s">
        <v>76</v>
      </c>
      <c r="C253" s="6" t="s">
        <v>77</v>
      </c>
      <c r="D253" s="6" t="s">
        <v>17</v>
      </c>
      <c r="E253" s="7">
        <v>27950</v>
      </c>
      <c r="F253" s="22">
        <v>13</v>
      </c>
    </row>
    <row r="254" spans="2:6" ht="23.4">
      <c r="B254" s="21" t="s">
        <v>76</v>
      </c>
      <c r="C254" s="6" t="s">
        <v>77</v>
      </c>
      <c r="D254" s="6" t="s">
        <v>17</v>
      </c>
      <c r="E254" s="7">
        <v>29408</v>
      </c>
      <c r="F254" s="22">
        <v>16</v>
      </c>
    </row>
    <row r="255" spans="2:6" ht="23.4">
      <c r="B255" s="21" t="s">
        <v>78</v>
      </c>
      <c r="C255" s="6" t="s">
        <v>51</v>
      </c>
      <c r="D255" s="6" t="s">
        <v>25</v>
      </c>
      <c r="E255" s="7">
        <v>3386</v>
      </c>
      <c r="F255" s="22">
        <v>1</v>
      </c>
    </row>
    <row r="256" spans="2:6" ht="23.4">
      <c r="B256" s="21" t="s">
        <v>78</v>
      </c>
      <c r="C256" s="6" t="s">
        <v>51</v>
      </c>
      <c r="D256" s="6" t="s">
        <v>15</v>
      </c>
      <c r="E256" s="7">
        <v>38448</v>
      </c>
      <c r="F256" s="22">
        <v>12</v>
      </c>
    </row>
    <row r="257" spans="2:6" ht="23.4">
      <c r="B257" s="21" t="s">
        <v>78</v>
      </c>
      <c r="C257" s="6" t="s">
        <v>51</v>
      </c>
      <c r="D257" s="6" t="s">
        <v>29</v>
      </c>
      <c r="E257" s="7">
        <v>11872</v>
      </c>
      <c r="F257" s="22">
        <v>16</v>
      </c>
    </row>
    <row r="258" spans="2:6" ht="23.4">
      <c r="B258" s="21" t="s">
        <v>78</v>
      </c>
      <c r="C258" s="6" t="s">
        <v>51</v>
      </c>
      <c r="D258" s="6" t="s">
        <v>10</v>
      </c>
      <c r="E258" s="7">
        <v>68833</v>
      </c>
      <c r="F258" s="22">
        <v>17</v>
      </c>
    </row>
    <row r="259" spans="2:6" ht="23.4">
      <c r="B259" s="21" t="s">
        <v>78</v>
      </c>
      <c r="C259" s="6" t="s">
        <v>51</v>
      </c>
      <c r="D259" s="6" t="s">
        <v>9</v>
      </c>
      <c r="E259" s="7">
        <v>14544</v>
      </c>
      <c r="F259" s="22">
        <v>4</v>
      </c>
    </row>
    <row r="260" spans="2:6" ht="23.4">
      <c r="B260" s="21" t="s">
        <v>78</v>
      </c>
      <c r="C260" s="6" t="s">
        <v>51</v>
      </c>
      <c r="D260" s="6" t="s">
        <v>29</v>
      </c>
      <c r="E260" s="7">
        <v>8010</v>
      </c>
      <c r="F260" s="22">
        <v>9</v>
      </c>
    </row>
    <row r="261" spans="2:6" ht="23.4">
      <c r="B261" s="21" t="s">
        <v>78</v>
      </c>
      <c r="C261" s="6" t="s">
        <v>51</v>
      </c>
      <c r="D261" s="6" t="s">
        <v>15</v>
      </c>
      <c r="E261" s="7">
        <v>18075</v>
      </c>
      <c r="F261" s="22">
        <v>15</v>
      </c>
    </row>
    <row r="262" spans="2:6" ht="23.4">
      <c r="B262" s="21" t="s">
        <v>78</v>
      </c>
      <c r="C262" s="6" t="s">
        <v>51</v>
      </c>
      <c r="D262" s="6" t="s">
        <v>10</v>
      </c>
      <c r="E262" s="7">
        <v>11536</v>
      </c>
      <c r="F262" s="22">
        <v>4</v>
      </c>
    </row>
    <row r="263" spans="2:6" ht="23.4">
      <c r="B263" s="21" t="s">
        <v>78</v>
      </c>
      <c r="C263" s="6" t="s">
        <v>51</v>
      </c>
      <c r="D263" s="6" t="s">
        <v>24</v>
      </c>
      <c r="E263" s="7">
        <v>3596</v>
      </c>
      <c r="F263" s="22">
        <v>4</v>
      </c>
    </row>
    <row r="264" spans="2:6" ht="23.4">
      <c r="B264" s="21" t="s">
        <v>78</v>
      </c>
      <c r="C264" s="6" t="s">
        <v>51</v>
      </c>
      <c r="D264" s="6" t="s">
        <v>11</v>
      </c>
      <c r="E264" s="7">
        <v>2630</v>
      </c>
      <c r="F264" s="22">
        <v>1</v>
      </c>
    </row>
    <row r="265" spans="2:6" ht="23.4">
      <c r="B265" s="21" t="s">
        <v>78</v>
      </c>
      <c r="C265" s="6" t="s">
        <v>51</v>
      </c>
      <c r="D265" s="6" t="s">
        <v>10</v>
      </c>
      <c r="E265" s="7">
        <v>35205</v>
      </c>
      <c r="F265" s="22">
        <v>15</v>
      </c>
    </row>
    <row r="266" spans="2:6" ht="23.4">
      <c r="B266" s="21" t="s">
        <v>79</v>
      </c>
      <c r="C266" s="6" t="s">
        <v>14</v>
      </c>
      <c r="D266" s="6" t="s">
        <v>17</v>
      </c>
      <c r="E266" s="7">
        <v>6440</v>
      </c>
      <c r="F266" s="22">
        <v>8</v>
      </c>
    </row>
    <row r="267" spans="2:6" ht="23.4">
      <c r="B267" s="21" t="s">
        <v>79</v>
      </c>
      <c r="C267" s="6" t="s">
        <v>14</v>
      </c>
      <c r="D267" s="6" t="s">
        <v>24</v>
      </c>
      <c r="E267" s="7">
        <v>59175</v>
      </c>
      <c r="F267" s="22">
        <v>15</v>
      </c>
    </row>
    <row r="268" spans="2:6" ht="23.4">
      <c r="B268" s="21" t="s">
        <v>79</v>
      </c>
      <c r="C268" s="6" t="s">
        <v>14</v>
      </c>
      <c r="D268" s="6" t="s">
        <v>18</v>
      </c>
      <c r="E268" s="7">
        <v>39197</v>
      </c>
      <c r="F268" s="22">
        <v>19</v>
      </c>
    </row>
    <row r="269" spans="2:6" ht="23.4">
      <c r="B269" s="21" t="s">
        <v>79</v>
      </c>
      <c r="C269" s="6" t="s">
        <v>14</v>
      </c>
      <c r="D269" s="6" t="s">
        <v>9</v>
      </c>
      <c r="E269" s="7">
        <v>14735</v>
      </c>
      <c r="F269" s="22">
        <v>5</v>
      </c>
    </row>
    <row r="270" spans="2:6" ht="23.4">
      <c r="B270" s="21" t="s">
        <v>79</v>
      </c>
      <c r="C270" s="6" t="s">
        <v>14</v>
      </c>
      <c r="D270" s="6" t="s">
        <v>18</v>
      </c>
      <c r="E270" s="7">
        <v>2002</v>
      </c>
      <c r="F270" s="22">
        <v>7</v>
      </c>
    </row>
    <row r="271" spans="2:6" ht="23.4">
      <c r="B271" s="21" t="s">
        <v>79</v>
      </c>
      <c r="C271" s="6" t="s">
        <v>14</v>
      </c>
      <c r="D271" s="6" t="s">
        <v>24</v>
      </c>
      <c r="E271" s="7">
        <v>22152</v>
      </c>
      <c r="F271" s="22">
        <v>13</v>
      </c>
    </row>
    <row r="272" spans="2:6" ht="23.4">
      <c r="B272" s="21" t="s">
        <v>79</v>
      </c>
      <c r="C272" s="6" t="s">
        <v>14</v>
      </c>
      <c r="D272" s="6" t="s">
        <v>9</v>
      </c>
      <c r="E272" s="7">
        <v>53865</v>
      </c>
      <c r="F272" s="22">
        <v>19</v>
      </c>
    </row>
    <row r="273" spans="2:6" ht="23.4">
      <c r="B273" s="21" t="s">
        <v>79</v>
      </c>
      <c r="C273" s="6" t="s">
        <v>14</v>
      </c>
      <c r="D273" s="6" t="s">
        <v>25</v>
      </c>
      <c r="E273" s="7">
        <v>57582</v>
      </c>
      <c r="F273" s="22">
        <v>14</v>
      </c>
    </row>
    <row r="274" spans="2:6" ht="23.4">
      <c r="B274" s="21" t="s">
        <v>80</v>
      </c>
      <c r="C274" s="6" t="s">
        <v>8</v>
      </c>
      <c r="D274" s="6" t="s">
        <v>29</v>
      </c>
      <c r="E274" s="7">
        <v>69472</v>
      </c>
      <c r="F274" s="22">
        <v>16</v>
      </c>
    </row>
    <row r="275" spans="2:6" ht="23.4">
      <c r="B275" s="21" t="s">
        <v>80</v>
      </c>
      <c r="C275" s="6" t="s">
        <v>8</v>
      </c>
      <c r="D275" s="6" t="s">
        <v>15</v>
      </c>
      <c r="E275" s="7">
        <v>6766</v>
      </c>
      <c r="F275" s="22">
        <v>17</v>
      </c>
    </row>
    <row r="276" spans="2:6" ht="23.4">
      <c r="B276" s="21" t="s">
        <v>80</v>
      </c>
      <c r="C276" s="6" t="s">
        <v>8</v>
      </c>
      <c r="D276" s="6" t="s">
        <v>15</v>
      </c>
      <c r="E276" s="7">
        <v>70500</v>
      </c>
      <c r="F276" s="22">
        <v>20</v>
      </c>
    </row>
    <row r="277" spans="2:6" ht="23.4">
      <c r="B277" s="21" t="s">
        <v>80</v>
      </c>
      <c r="C277" s="6" t="s">
        <v>8</v>
      </c>
      <c r="D277" s="6" t="s">
        <v>25</v>
      </c>
      <c r="E277" s="7">
        <v>33422</v>
      </c>
      <c r="F277" s="22">
        <v>17</v>
      </c>
    </row>
    <row r="278" spans="2:6" ht="23.4">
      <c r="B278" s="21" t="s">
        <v>80</v>
      </c>
      <c r="C278" s="6" t="s">
        <v>8</v>
      </c>
      <c r="D278" s="6" t="s">
        <v>15</v>
      </c>
      <c r="E278" s="7">
        <v>25600</v>
      </c>
      <c r="F278" s="22">
        <v>16</v>
      </c>
    </row>
    <row r="279" spans="2:6" ht="23.4">
      <c r="B279" s="21" t="s">
        <v>80</v>
      </c>
      <c r="C279" s="6" t="s">
        <v>8</v>
      </c>
      <c r="D279" s="6" t="s">
        <v>15</v>
      </c>
      <c r="E279" s="7">
        <v>25263</v>
      </c>
      <c r="F279" s="22">
        <v>7</v>
      </c>
    </row>
    <row r="280" spans="2:6" ht="23.4">
      <c r="B280" s="21" t="s">
        <v>80</v>
      </c>
      <c r="C280" s="6" t="s">
        <v>8</v>
      </c>
      <c r="D280" s="6" t="s">
        <v>10</v>
      </c>
      <c r="E280" s="7">
        <v>11730</v>
      </c>
      <c r="F280" s="22">
        <v>3</v>
      </c>
    </row>
    <row r="281" spans="2:6" ht="23.4">
      <c r="B281" s="21" t="s">
        <v>80</v>
      </c>
      <c r="C281" s="6" t="s">
        <v>8</v>
      </c>
      <c r="D281" s="6" t="s">
        <v>25</v>
      </c>
      <c r="E281" s="7">
        <v>81940</v>
      </c>
      <c r="F281" s="22">
        <v>17</v>
      </c>
    </row>
    <row r="282" spans="2:6" ht="23.4">
      <c r="B282" s="21" t="s">
        <v>80</v>
      </c>
      <c r="C282" s="6" t="s">
        <v>8</v>
      </c>
      <c r="D282" s="6" t="s">
        <v>9</v>
      </c>
      <c r="E282" s="7">
        <v>19122</v>
      </c>
      <c r="F282" s="22">
        <v>6</v>
      </c>
    </row>
    <row r="283" spans="2:6" ht="23.4">
      <c r="B283" s="21" t="s">
        <v>81</v>
      </c>
      <c r="C283" s="6" t="s">
        <v>82</v>
      </c>
      <c r="D283" s="6" t="s">
        <v>24</v>
      </c>
      <c r="E283" s="7">
        <v>12972</v>
      </c>
      <c r="F283" s="22">
        <v>12</v>
      </c>
    </row>
    <row r="284" spans="2:6" ht="23.4">
      <c r="B284" s="21" t="s">
        <v>81</v>
      </c>
      <c r="C284" s="6" t="s">
        <v>82</v>
      </c>
      <c r="D284" s="6" t="s">
        <v>29</v>
      </c>
      <c r="E284" s="7">
        <v>2390</v>
      </c>
      <c r="F284" s="22">
        <v>2</v>
      </c>
    </row>
    <row r="285" spans="2:6" ht="23.4">
      <c r="B285" s="21" t="s">
        <v>81</v>
      </c>
      <c r="C285" s="6" t="s">
        <v>82</v>
      </c>
      <c r="D285" s="6" t="s">
        <v>11</v>
      </c>
      <c r="E285" s="7">
        <v>39380</v>
      </c>
      <c r="F285" s="22">
        <v>10</v>
      </c>
    </row>
    <row r="286" spans="2:6" ht="23.4">
      <c r="B286" s="21" t="s">
        <v>81</v>
      </c>
      <c r="C286" s="6" t="s">
        <v>82</v>
      </c>
      <c r="D286" s="6" t="s">
        <v>24</v>
      </c>
      <c r="E286" s="7">
        <v>36936</v>
      </c>
      <c r="F286" s="22">
        <v>18</v>
      </c>
    </row>
    <row r="287" spans="2:6" ht="23.4">
      <c r="B287" s="21" t="s">
        <v>81</v>
      </c>
      <c r="C287" s="6" t="s">
        <v>82</v>
      </c>
      <c r="D287" s="6" t="s">
        <v>29</v>
      </c>
      <c r="E287" s="7">
        <v>16002</v>
      </c>
      <c r="F287" s="22">
        <v>14</v>
      </c>
    </row>
    <row r="288" spans="2:6" ht="23.4">
      <c r="B288" s="21" t="s">
        <v>83</v>
      </c>
      <c r="C288" s="6" t="s">
        <v>82</v>
      </c>
      <c r="D288" s="6" t="s">
        <v>29</v>
      </c>
      <c r="E288" s="7">
        <v>17721</v>
      </c>
      <c r="F288" s="22">
        <v>9</v>
      </c>
    </row>
    <row r="289" spans="2:6" ht="23.4">
      <c r="B289" s="21" t="s">
        <v>83</v>
      </c>
      <c r="C289" s="6" t="s">
        <v>82</v>
      </c>
      <c r="D289" s="6" t="s">
        <v>10</v>
      </c>
      <c r="E289" s="7">
        <v>4185</v>
      </c>
      <c r="F289" s="22">
        <v>3</v>
      </c>
    </row>
    <row r="290" spans="2:6" ht="23.4">
      <c r="B290" s="21" t="s">
        <v>83</v>
      </c>
      <c r="C290" s="6" t="s">
        <v>82</v>
      </c>
      <c r="D290" s="6" t="s">
        <v>24</v>
      </c>
      <c r="E290" s="7">
        <v>17924</v>
      </c>
      <c r="F290" s="22">
        <v>4</v>
      </c>
    </row>
    <row r="291" spans="2:6" ht="23.4">
      <c r="B291" s="21" t="s">
        <v>83</v>
      </c>
      <c r="C291" s="6" t="s">
        <v>82</v>
      </c>
      <c r="D291" s="6" t="s">
        <v>9</v>
      </c>
      <c r="E291" s="7">
        <v>74415</v>
      </c>
      <c r="F291" s="22">
        <v>15</v>
      </c>
    </row>
    <row r="292" spans="2:6" ht="23.4">
      <c r="B292" s="21" t="s">
        <v>83</v>
      </c>
      <c r="C292" s="6" t="s">
        <v>82</v>
      </c>
      <c r="D292" s="6" t="s">
        <v>9</v>
      </c>
      <c r="E292" s="7">
        <v>29988</v>
      </c>
      <c r="F292" s="22">
        <v>7</v>
      </c>
    </row>
    <row r="293" spans="2:6" ht="23.4">
      <c r="B293" s="21" t="s">
        <v>83</v>
      </c>
      <c r="C293" s="6" t="s">
        <v>82</v>
      </c>
      <c r="D293" s="6" t="s">
        <v>28</v>
      </c>
      <c r="E293" s="7">
        <v>61938</v>
      </c>
      <c r="F293" s="22">
        <v>18</v>
      </c>
    </row>
    <row r="294" spans="2:6" ht="23.4">
      <c r="B294" s="21" t="s">
        <v>83</v>
      </c>
      <c r="C294" s="6" t="s">
        <v>82</v>
      </c>
      <c r="D294" s="6" t="s">
        <v>10</v>
      </c>
      <c r="E294" s="7">
        <v>4027</v>
      </c>
      <c r="F294" s="22">
        <v>1</v>
      </c>
    </row>
    <row r="295" spans="2:6" ht="23.4">
      <c r="B295" s="21" t="s">
        <v>84</v>
      </c>
      <c r="C295" s="6" t="s">
        <v>47</v>
      </c>
      <c r="D295" s="6" t="s">
        <v>11</v>
      </c>
      <c r="E295" s="7">
        <v>28824</v>
      </c>
      <c r="F295" s="22">
        <v>12</v>
      </c>
    </row>
    <row r="296" spans="2:6" ht="23.4">
      <c r="B296" s="21" t="s">
        <v>84</v>
      </c>
      <c r="C296" s="6" t="s">
        <v>47</v>
      </c>
      <c r="D296" s="6" t="s">
        <v>17</v>
      </c>
      <c r="E296" s="7">
        <v>17001</v>
      </c>
      <c r="F296" s="22">
        <v>9</v>
      </c>
    </row>
    <row r="297" spans="2:6" ht="23.4">
      <c r="B297" s="21" t="s">
        <v>84</v>
      </c>
      <c r="C297" s="6" t="s">
        <v>47</v>
      </c>
      <c r="D297" s="6" t="s">
        <v>10</v>
      </c>
      <c r="E297" s="7">
        <v>13344</v>
      </c>
      <c r="F297" s="22">
        <v>12</v>
      </c>
    </row>
    <row r="298" spans="2:6" ht="23.4">
      <c r="B298" s="21" t="s">
        <v>84</v>
      </c>
      <c r="C298" s="6" t="s">
        <v>47</v>
      </c>
      <c r="D298" s="6" t="s">
        <v>18</v>
      </c>
      <c r="E298" s="7">
        <v>8127</v>
      </c>
      <c r="F298" s="22">
        <v>9</v>
      </c>
    </row>
    <row r="299" spans="2:6" ht="23.4">
      <c r="B299" s="21" t="s">
        <v>84</v>
      </c>
      <c r="C299" s="6" t="s">
        <v>47</v>
      </c>
      <c r="D299" s="6" t="s">
        <v>25</v>
      </c>
      <c r="E299" s="7">
        <v>27120</v>
      </c>
      <c r="F299" s="22">
        <v>10</v>
      </c>
    </row>
    <row r="300" spans="2:6" ht="23.4">
      <c r="B300" s="21" t="s">
        <v>84</v>
      </c>
      <c r="C300" s="6" t="s">
        <v>47</v>
      </c>
      <c r="D300" s="6" t="s">
        <v>24</v>
      </c>
      <c r="E300" s="7">
        <v>8910</v>
      </c>
      <c r="F300" s="22">
        <v>9</v>
      </c>
    </row>
    <row r="301" spans="2:6" ht="23.4">
      <c r="B301" s="21" t="s">
        <v>84</v>
      </c>
      <c r="C301" s="6" t="s">
        <v>47</v>
      </c>
      <c r="D301" s="6" t="s">
        <v>28</v>
      </c>
      <c r="E301" s="7">
        <v>20993</v>
      </c>
      <c r="F301" s="22">
        <v>7</v>
      </c>
    </row>
    <row r="302" spans="2:6" ht="23.4">
      <c r="B302" s="21" t="s">
        <v>84</v>
      </c>
      <c r="C302" s="6" t="s">
        <v>47</v>
      </c>
      <c r="D302" s="6" t="s">
        <v>9</v>
      </c>
      <c r="E302" s="7">
        <v>3180</v>
      </c>
      <c r="F302" s="22">
        <v>12</v>
      </c>
    </row>
    <row r="303" spans="2:6" ht="23.4">
      <c r="B303" s="21" t="s">
        <v>84</v>
      </c>
      <c r="C303" s="6" t="s">
        <v>47</v>
      </c>
      <c r="D303" s="6" t="s">
        <v>11</v>
      </c>
      <c r="E303" s="7">
        <v>48726</v>
      </c>
      <c r="F303" s="22">
        <v>18</v>
      </c>
    </row>
    <row r="304" spans="2:6" ht="23.4">
      <c r="B304" s="26" t="s">
        <v>84</v>
      </c>
      <c r="C304" s="27" t="s">
        <v>47</v>
      </c>
      <c r="D304" s="27" t="s">
        <v>18</v>
      </c>
      <c r="E304" s="28">
        <v>14966</v>
      </c>
      <c r="F304" s="29">
        <v>14</v>
      </c>
    </row>
  </sheetData>
  <mergeCells count="1">
    <mergeCell ref="B2:F2"/>
  </mergeCells>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9A77A2-604D-45CF-9DFF-9BE35BCECBEA}">
  <sheetPr>
    <pageSetUpPr autoPageBreaks="0"/>
  </sheetPr>
  <dimension ref="B1:AK83"/>
  <sheetViews>
    <sheetView showGridLines="0" zoomScale="36" zoomScaleNormal="36" workbookViewId="0">
      <selection activeCell="AO17" sqref="AO17"/>
    </sheetView>
  </sheetViews>
  <sheetFormatPr defaultRowHeight="14.4"/>
  <cols>
    <col min="2" max="2" width="22.6640625" bestFit="1" customWidth="1"/>
    <col min="3" max="3" width="26.5546875" bestFit="1" customWidth="1"/>
    <col min="4" max="4" width="10.33203125" customWidth="1"/>
  </cols>
  <sheetData>
    <row r="1" spans="2:37" ht="15.6">
      <c r="B1" s="5"/>
      <c r="C1" s="5"/>
      <c r="D1" s="5"/>
      <c r="E1" s="5"/>
      <c r="F1" s="5"/>
      <c r="G1" s="5"/>
      <c r="H1" s="5"/>
      <c r="I1" s="5"/>
      <c r="J1" s="5"/>
      <c r="K1" s="5"/>
      <c r="L1" s="5"/>
      <c r="M1" s="5"/>
      <c r="N1" s="5"/>
      <c r="O1" s="5"/>
      <c r="P1" s="5"/>
      <c r="Q1" s="5"/>
      <c r="R1" s="5"/>
      <c r="S1" s="5"/>
      <c r="T1" s="5"/>
      <c r="U1" s="5"/>
      <c r="V1" s="5"/>
      <c r="W1" s="5"/>
    </row>
    <row r="2" spans="2:37" ht="32.4">
      <c r="B2" s="56" t="s">
        <v>94</v>
      </c>
      <c r="C2" s="56"/>
      <c r="D2" s="56"/>
      <c r="E2" s="56"/>
      <c r="F2" s="56"/>
      <c r="G2" s="56"/>
      <c r="H2" s="56"/>
      <c r="I2" s="56"/>
      <c r="J2" s="56"/>
      <c r="K2" s="56"/>
      <c r="L2" s="56"/>
      <c r="M2" s="56"/>
      <c r="N2" s="56"/>
      <c r="O2" s="56"/>
      <c r="P2" s="56"/>
      <c r="Q2" s="56"/>
      <c r="T2" s="55" t="s">
        <v>92</v>
      </c>
      <c r="U2" s="55"/>
      <c r="V2" s="55"/>
      <c r="W2" s="55"/>
      <c r="X2" s="55"/>
      <c r="Y2" s="55"/>
      <c r="Z2" s="55"/>
      <c r="AA2" s="55"/>
      <c r="AB2" s="55"/>
      <c r="AC2" s="55"/>
      <c r="AD2" s="55"/>
      <c r="AE2" s="55"/>
      <c r="AF2" s="55"/>
      <c r="AG2" s="55"/>
      <c r="AH2" s="55"/>
      <c r="AI2" s="55"/>
      <c r="AJ2" s="55"/>
      <c r="AK2" s="55"/>
    </row>
    <row r="3" spans="2:37" ht="15.6">
      <c r="B3" s="5"/>
      <c r="C3" s="5"/>
      <c r="D3" s="5"/>
      <c r="E3" s="5"/>
      <c r="F3" s="5"/>
      <c r="G3" s="5"/>
      <c r="H3" s="5"/>
      <c r="I3" s="5"/>
      <c r="J3" s="5"/>
      <c r="K3" s="5"/>
      <c r="L3" s="5"/>
      <c r="M3" s="5"/>
      <c r="N3" s="5"/>
      <c r="O3" s="5"/>
      <c r="P3" s="5"/>
      <c r="Q3" s="5"/>
      <c r="R3" s="5"/>
      <c r="S3" s="5"/>
      <c r="T3" s="5"/>
      <c r="U3" s="5"/>
      <c r="V3" s="5"/>
      <c r="W3" s="5"/>
    </row>
    <row r="36" spans="2:37" ht="14.4" customHeight="1"/>
    <row r="37" spans="2:37" ht="14.4" customHeight="1"/>
    <row r="40" spans="2:37" ht="29.4">
      <c r="B40" s="57" t="s">
        <v>93</v>
      </c>
      <c r="C40" s="57"/>
      <c r="D40" s="57"/>
      <c r="E40" s="57"/>
      <c r="F40" s="57"/>
      <c r="G40" s="57"/>
      <c r="H40" s="57"/>
      <c r="I40" s="57"/>
      <c r="J40" s="57"/>
      <c r="K40" s="57"/>
      <c r="L40" s="57"/>
      <c r="M40" s="57"/>
      <c r="N40" s="57"/>
      <c r="O40" s="57"/>
      <c r="P40" s="57"/>
      <c r="Q40" s="57"/>
      <c r="T40" s="57" t="s">
        <v>104</v>
      </c>
      <c r="U40" s="57"/>
      <c r="V40" s="57"/>
      <c r="W40" s="57"/>
      <c r="X40" s="57"/>
      <c r="Y40" s="57"/>
      <c r="Z40" s="57"/>
      <c r="AA40" s="57"/>
      <c r="AB40" s="57"/>
      <c r="AC40" s="57"/>
      <c r="AD40" s="57"/>
      <c r="AE40" s="57"/>
      <c r="AF40" s="57"/>
      <c r="AG40" s="57"/>
      <c r="AH40" s="57"/>
      <c r="AI40" s="57"/>
      <c r="AJ40" s="57"/>
      <c r="AK40" s="57"/>
    </row>
    <row r="57" spans="19:34">
      <c r="S57" s="20"/>
      <c r="T57" s="20"/>
      <c r="U57" s="20"/>
      <c r="V57" s="20"/>
      <c r="W57" s="20"/>
      <c r="X57" s="20"/>
      <c r="Y57" s="20"/>
      <c r="Z57" s="20"/>
      <c r="AA57" s="20"/>
      <c r="AB57" s="20"/>
      <c r="AC57" s="20"/>
      <c r="AD57" s="20"/>
      <c r="AE57" s="20"/>
      <c r="AF57" s="20"/>
      <c r="AG57" s="20"/>
      <c r="AH57" s="20"/>
    </row>
    <row r="62" spans="19:34" ht="14.4" customHeight="1"/>
    <row r="63" spans="19:34" ht="14.4" customHeight="1"/>
    <row r="83" ht="34.799999999999997" customHeight="1"/>
  </sheetData>
  <mergeCells count="4">
    <mergeCell ref="T2:AK2"/>
    <mergeCell ref="B2:Q2"/>
    <mergeCell ref="B40:Q40"/>
    <mergeCell ref="T40:AK40"/>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FCCF0-9109-4DD0-98DF-989264D2D468}">
  <dimension ref="B3:U56"/>
  <sheetViews>
    <sheetView showGridLines="0" zoomScale="62" zoomScaleNormal="62" workbookViewId="0">
      <selection activeCell="J11" sqref="J11"/>
    </sheetView>
  </sheetViews>
  <sheetFormatPr defaultRowHeight="14.4"/>
  <cols>
    <col min="2" max="2" width="32.44140625" bestFit="1" customWidth="1"/>
    <col min="3" max="3" width="37.88671875" bestFit="1" customWidth="1"/>
    <col min="4" max="4" width="22.6640625" bestFit="1" customWidth="1"/>
    <col min="5" max="5" width="26.5546875" bestFit="1" customWidth="1"/>
    <col min="6" max="6" width="27" bestFit="1" customWidth="1"/>
    <col min="7" max="7" width="37.88671875" bestFit="1" customWidth="1"/>
    <col min="8" max="8" width="25.109375" customWidth="1"/>
    <col min="9" max="9" width="23.77734375" customWidth="1"/>
    <col min="10" max="10" width="27.77734375" bestFit="1" customWidth="1"/>
    <col min="11" max="11" width="29.5546875" bestFit="1" customWidth="1"/>
    <col min="14" max="14" width="18.33203125" customWidth="1"/>
    <col min="15" max="15" width="14.44140625" customWidth="1"/>
    <col min="17" max="17" width="19.44140625" customWidth="1"/>
    <col min="18" max="18" width="18.44140625" customWidth="1"/>
    <col min="19" max="19" width="19.88671875" customWidth="1"/>
    <col min="20" max="20" width="16.21875" customWidth="1"/>
  </cols>
  <sheetData>
    <row r="3" spans="2:21" ht="39">
      <c r="B3" s="61" t="s">
        <v>91</v>
      </c>
      <c r="C3" s="61"/>
      <c r="D3" s="61"/>
      <c r="E3" s="61"/>
      <c r="F3" s="61"/>
      <c r="G3" s="61"/>
      <c r="H3" s="61"/>
      <c r="I3" s="61"/>
      <c r="J3" s="61"/>
      <c r="K3" s="61"/>
      <c r="L3" s="61"/>
      <c r="M3" s="61"/>
      <c r="N3" s="61"/>
      <c r="O3" s="61"/>
      <c r="P3" s="61"/>
      <c r="Q3" s="61"/>
      <c r="R3" s="61"/>
      <c r="S3" s="61"/>
      <c r="T3" s="61"/>
      <c r="U3" s="61"/>
    </row>
    <row r="5" spans="2:21" ht="23.4">
      <c r="B5" s="19" t="s">
        <v>3</v>
      </c>
      <c r="C5" t="s">
        <v>89</v>
      </c>
      <c r="D5" s="3"/>
      <c r="F5" s="19" t="s">
        <v>3</v>
      </c>
      <c r="G5" s="3" t="s">
        <v>89</v>
      </c>
      <c r="H5" s="3"/>
    </row>
    <row r="6" spans="2:21" ht="24" thickBot="1">
      <c r="B6" s="3"/>
      <c r="C6" s="3"/>
      <c r="D6" s="3"/>
      <c r="G6" s="3"/>
      <c r="H6" s="3"/>
    </row>
    <row r="7" spans="2:21" ht="26.4" thickBot="1">
      <c r="B7" s="31" t="s">
        <v>86</v>
      </c>
      <c r="C7" s="31" t="s">
        <v>88</v>
      </c>
      <c r="F7" s="30" t="s">
        <v>86</v>
      </c>
      <c r="G7" s="3" t="s">
        <v>88</v>
      </c>
      <c r="J7" s="32" t="s">
        <v>86</v>
      </c>
      <c r="K7" s="33" t="s">
        <v>90</v>
      </c>
      <c r="N7" s="35" t="s">
        <v>95</v>
      </c>
      <c r="O7" s="35" t="s">
        <v>96</v>
      </c>
      <c r="Q7" s="58" t="s">
        <v>100</v>
      </c>
      <c r="R7" s="59"/>
      <c r="S7" s="59"/>
      <c r="T7" s="60"/>
    </row>
    <row r="8" spans="2:21" ht="26.4" thickBot="1">
      <c r="B8" s="4" t="s">
        <v>7</v>
      </c>
      <c r="C8" s="18">
        <v>211124</v>
      </c>
      <c r="F8" s="17" t="s">
        <v>82</v>
      </c>
      <c r="G8" s="18">
        <v>317878</v>
      </c>
      <c r="J8" s="34" t="s">
        <v>28</v>
      </c>
      <c r="K8" s="33">
        <v>286</v>
      </c>
      <c r="N8" s="36">
        <v>9005000</v>
      </c>
      <c r="O8" s="35">
        <v>3418</v>
      </c>
    </row>
    <row r="9" spans="2:21" ht="26.4" thickBot="1">
      <c r="B9" s="4" t="s">
        <v>13</v>
      </c>
      <c r="C9" s="18">
        <v>202480</v>
      </c>
      <c r="F9" s="17" t="s">
        <v>44</v>
      </c>
      <c r="G9" s="18">
        <v>113094</v>
      </c>
      <c r="J9" s="34" t="s">
        <v>25</v>
      </c>
      <c r="K9" s="33">
        <v>298</v>
      </c>
      <c r="Q9" s="37" t="s">
        <v>97</v>
      </c>
      <c r="R9" s="37" t="s">
        <v>101</v>
      </c>
      <c r="S9" s="37" t="s">
        <v>98</v>
      </c>
      <c r="T9" s="38" t="s">
        <v>99</v>
      </c>
    </row>
    <row r="10" spans="2:21" ht="25.8">
      <c r="B10" s="4" t="s">
        <v>19</v>
      </c>
      <c r="C10" s="18">
        <v>18080</v>
      </c>
      <c r="F10" s="17" t="s">
        <v>67</v>
      </c>
      <c r="G10" s="18">
        <v>277750</v>
      </c>
      <c r="J10" s="34" t="s">
        <v>10</v>
      </c>
      <c r="K10" s="33">
        <v>304</v>
      </c>
      <c r="Q10" s="39" t="s">
        <v>95</v>
      </c>
      <c r="R10" s="41">
        <f>GETPIVOTDATA("Sales",$N$7)</f>
        <v>9005000</v>
      </c>
      <c r="S10" s="41">
        <v>12500000</v>
      </c>
      <c r="T10" s="43">
        <f>R10/S10</f>
        <v>0.72040000000000004</v>
      </c>
    </row>
    <row r="11" spans="2:21" ht="26.4" thickBot="1">
      <c r="B11" s="4" t="s">
        <v>21</v>
      </c>
      <c r="C11" s="18">
        <v>71682</v>
      </c>
      <c r="F11" s="17" t="s">
        <v>32</v>
      </c>
      <c r="G11" s="18">
        <v>222063</v>
      </c>
      <c r="J11" s="34" t="s">
        <v>17</v>
      </c>
      <c r="K11" s="33">
        <v>323</v>
      </c>
      <c r="Q11" s="40" t="s">
        <v>96</v>
      </c>
      <c r="R11" s="40">
        <f>GETPIVOTDATA("Sold Units",$N$7)</f>
        <v>3418</v>
      </c>
      <c r="S11" s="40">
        <v>4400</v>
      </c>
      <c r="T11" s="42">
        <f>R11/S11</f>
        <v>0.77681818181818185</v>
      </c>
    </row>
    <row r="12" spans="2:21" ht="26.4" thickBot="1">
      <c r="B12" s="4" t="s">
        <v>23</v>
      </c>
      <c r="C12" s="18">
        <v>104971</v>
      </c>
      <c r="F12" s="17" t="s">
        <v>70</v>
      </c>
      <c r="G12" s="18">
        <v>39305</v>
      </c>
      <c r="J12" s="34" t="s">
        <v>18</v>
      </c>
      <c r="K12" s="33">
        <v>324</v>
      </c>
    </row>
    <row r="13" spans="2:21" ht="26.4" thickBot="1">
      <c r="B13" s="4" t="s">
        <v>26</v>
      </c>
      <c r="C13" s="18">
        <v>219613</v>
      </c>
      <c r="F13" s="17" t="s">
        <v>38</v>
      </c>
      <c r="G13" s="18">
        <v>116024</v>
      </c>
      <c r="J13" s="34" t="s">
        <v>11</v>
      </c>
      <c r="K13" s="33">
        <v>348</v>
      </c>
      <c r="Q13" s="45" t="s">
        <v>97</v>
      </c>
      <c r="R13" s="45" t="s">
        <v>102</v>
      </c>
      <c r="S13" s="46" t="s">
        <v>103</v>
      </c>
    </row>
    <row r="14" spans="2:21" ht="25.8">
      <c r="B14" s="4" t="s">
        <v>30</v>
      </c>
      <c r="C14" s="18">
        <v>84693</v>
      </c>
      <c r="F14" s="17" t="s">
        <v>14</v>
      </c>
      <c r="G14" s="18">
        <v>802663</v>
      </c>
      <c r="J14" s="34" t="s">
        <v>29</v>
      </c>
      <c r="K14" s="33">
        <v>361</v>
      </c>
      <c r="Q14" s="47" t="s">
        <v>95</v>
      </c>
      <c r="R14" s="49">
        <f>T10</f>
        <v>0.72040000000000004</v>
      </c>
      <c r="S14" s="51">
        <f>100%-R14</f>
        <v>0.27959999999999996</v>
      </c>
    </row>
    <row r="15" spans="2:21" ht="26.4" thickBot="1">
      <c r="B15" s="4" t="s">
        <v>32</v>
      </c>
      <c r="C15" s="18">
        <v>222063</v>
      </c>
      <c r="F15" s="17" t="s">
        <v>40</v>
      </c>
      <c r="G15" s="18">
        <v>392806</v>
      </c>
      <c r="J15" s="34" t="s">
        <v>9</v>
      </c>
      <c r="K15" s="33">
        <v>376</v>
      </c>
      <c r="Q15" s="48" t="s">
        <v>5</v>
      </c>
      <c r="R15" s="50">
        <f>T11</f>
        <v>0.77681818181818185</v>
      </c>
      <c r="S15" s="44">
        <f>100%-R15</f>
        <v>0.22318181818181815</v>
      </c>
    </row>
    <row r="16" spans="2:21" ht="25.8">
      <c r="B16" s="4" t="s">
        <v>33</v>
      </c>
      <c r="C16" s="18">
        <v>261445</v>
      </c>
      <c r="F16" s="17" t="s">
        <v>73</v>
      </c>
      <c r="G16" s="18">
        <v>338917</v>
      </c>
      <c r="J16" s="34" t="s">
        <v>24</v>
      </c>
      <c r="K16" s="33">
        <v>386</v>
      </c>
    </row>
    <row r="17" spans="2:11" ht="25.8">
      <c r="B17" s="4" t="s">
        <v>35</v>
      </c>
      <c r="C17" s="18">
        <v>181386</v>
      </c>
      <c r="F17" s="17" t="s">
        <v>27</v>
      </c>
      <c r="G17" s="18">
        <v>431021</v>
      </c>
      <c r="J17" s="34" t="s">
        <v>15</v>
      </c>
      <c r="K17" s="33">
        <v>412</v>
      </c>
    </row>
    <row r="18" spans="2:11" ht="25.8">
      <c r="B18" s="4" t="s">
        <v>36</v>
      </c>
      <c r="C18" s="18">
        <v>450915</v>
      </c>
      <c r="F18" s="17" t="s">
        <v>77</v>
      </c>
      <c r="G18" s="18">
        <v>188318</v>
      </c>
      <c r="J18" s="34" t="s">
        <v>87</v>
      </c>
      <c r="K18" s="33">
        <v>3418</v>
      </c>
    </row>
    <row r="19" spans="2:11" ht="23.4">
      <c r="B19" s="4" t="s">
        <v>38</v>
      </c>
      <c r="C19" s="18">
        <v>116024</v>
      </c>
      <c r="F19" s="17" t="s">
        <v>31</v>
      </c>
      <c r="G19" s="18">
        <v>691492</v>
      </c>
    </row>
    <row r="20" spans="2:11" ht="23.4">
      <c r="B20" s="4" t="s">
        <v>39</v>
      </c>
      <c r="C20" s="18">
        <v>238066</v>
      </c>
      <c r="F20" s="17" t="s">
        <v>22</v>
      </c>
      <c r="G20" s="18">
        <v>711236</v>
      </c>
    </row>
    <row r="21" spans="2:11" ht="23.4">
      <c r="B21" s="4" t="s">
        <v>41</v>
      </c>
      <c r="C21" s="18">
        <v>105020</v>
      </c>
      <c r="F21" s="17" t="s">
        <v>20</v>
      </c>
      <c r="G21" s="18">
        <v>155302</v>
      </c>
    </row>
    <row r="22" spans="2:11" ht="23.4">
      <c r="B22" s="4" t="s">
        <v>42</v>
      </c>
      <c r="C22" s="18">
        <v>154740</v>
      </c>
      <c r="F22" s="17" t="s">
        <v>51</v>
      </c>
      <c r="G22" s="18">
        <v>877463</v>
      </c>
    </row>
    <row r="23" spans="2:11" ht="23.4">
      <c r="B23" s="4" t="s">
        <v>43</v>
      </c>
      <c r="C23" s="18">
        <v>113094</v>
      </c>
      <c r="F23" s="17" t="s">
        <v>34</v>
      </c>
      <c r="G23" s="18">
        <v>783173</v>
      </c>
    </row>
    <row r="24" spans="2:11" ht="23.4">
      <c r="B24" s="4" t="s">
        <v>45</v>
      </c>
      <c r="C24" s="18">
        <v>167227</v>
      </c>
      <c r="F24" s="17" t="s">
        <v>47</v>
      </c>
      <c r="G24" s="18">
        <v>266518</v>
      </c>
    </row>
    <row r="25" spans="2:11" ht="23.4">
      <c r="B25" s="4" t="s">
        <v>46</v>
      </c>
      <c r="C25" s="18">
        <v>75327</v>
      </c>
      <c r="F25" s="17" t="s">
        <v>8</v>
      </c>
      <c r="G25" s="18">
        <v>1539926</v>
      </c>
    </row>
    <row r="26" spans="2:11" ht="23.4">
      <c r="B26" s="4" t="s">
        <v>48</v>
      </c>
      <c r="C26" s="18">
        <v>271495</v>
      </c>
      <c r="F26" s="17" t="s">
        <v>37</v>
      </c>
      <c r="G26" s="18">
        <v>450915</v>
      </c>
    </row>
    <row r="27" spans="2:11" ht="23.4">
      <c r="B27" s="4" t="s">
        <v>49</v>
      </c>
      <c r="C27" s="18">
        <v>168077</v>
      </c>
      <c r="F27" s="17" t="s">
        <v>55</v>
      </c>
      <c r="G27" s="18">
        <v>289136</v>
      </c>
    </row>
    <row r="28" spans="2:11" ht="23.4">
      <c r="B28" s="4" t="s">
        <v>50</v>
      </c>
      <c r="C28" s="18">
        <v>342711</v>
      </c>
      <c r="F28" s="17" t="s">
        <v>87</v>
      </c>
      <c r="G28" s="18">
        <v>9005000</v>
      </c>
    </row>
    <row r="29" spans="2:11" ht="23.4">
      <c r="B29" s="4" t="s">
        <v>52</v>
      </c>
      <c r="C29" s="18">
        <v>318617</v>
      </c>
    </row>
    <row r="30" spans="2:11" ht="23.4">
      <c r="B30" s="4" t="s">
        <v>53</v>
      </c>
      <c r="C30" s="18">
        <v>113242</v>
      </c>
    </row>
    <row r="31" spans="2:11" ht="23.4">
      <c r="B31" s="4" t="s">
        <v>54</v>
      </c>
      <c r="C31" s="18">
        <v>289136</v>
      </c>
    </row>
    <row r="32" spans="2:11" ht="23.4">
      <c r="B32" s="4" t="s">
        <v>56</v>
      </c>
      <c r="C32" s="18">
        <v>212626</v>
      </c>
    </row>
    <row r="33" spans="2:3" ht="23.4">
      <c r="B33" s="4" t="s">
        <v>57</v>
      </c>
      <c r="C33" s="18">
        <v>67228</v>
      </c>
    </row>
    <row r="34" spans="2:3" ht="23.4">
      <c r="B34" s="4" t="s">
        <v>58</v>
      </c>
      <c r="C34" s="18">
        <v>249615</v>
      </c>
    </row>
    <row r="35" spans="2:3" ht="23.4">
      <c r="B35" s="4" t="s">
        <v>59</v>
      </c>
      <c r="C35" s="18">
        <v>36826</v>
      </c>
    </row>
    <row r="36" spans="2:3" ht="23.4">
      <c r="B36" s="4" t="s">
        <v>60</v>
      </c>
      <c r="C36" s="18">
        <v>247523</v>
      </c>
    </row>
    <row r="37" spans="2:3" ht="23.4">
      <c r="B37" s="4" t="s">
        <v>61</v>
      </c>
      <c r="C37" s="18">
        <v>181782</v>
      </c>
    </row>
    <row r="38" spans="2:3" ht="23.4">
      <c r="B38" s="4" t="s">
        <v>62</v>
      </c>
      <c r="C38" s="18">
        <v>144032</v>
      </c>
    </row>
    <row r="39" spans="2:3" ht="23.4">
      <c r="B39" s="4" t="s">
        <v>63</v>
      </c>
      <c r="C39" s="18">
        <v>157248</v>
      </c>
    </row>
    <row r="40" spans="2:3" ht="23.4">
      <c r="B40" s="4" t="s">
        <v>64</v>
      </c>
      <c r="C40" s="18">
        <v>218909</v>
      </c>
    </row>
    <row r="41" spans="2:3" ht="23.4">
      <c r="B41" s="4" t="s">
        <v>65</v>
      </c>
      <c r="C41" s="18">
        <v>151605</v>
      </c>
    </row>
    <row r="42" spans="2:3" ht="23.4">
      <c r="B42" s="4" t="s">
        <v>66</v>
      </c>
      <c r="C42" s="18">
        <v>277750</v>
      </c>
    </row>
    <row r="43" spans="2:3" ht="23.4">
      <c r="B43" s="4" t="s">
        <v>68</v>
      </c>
      <c r="C43" s="18">
        <v>71609</v>
      </c>
    </row>
    <row r="44" spans="2:3" ht="23.4">
      <c r="B44" s="4" t="s">
        <v>69</v>
      </c>
      <c r="C44" s="18">
        <v>39305</v>
      </c>
    </row>
    <row r="45" spans="2:3" ht="23.4">
      <c r="B45" s="4" t="s">
        <v>71</v>
      </c>
      <c r="C45" s="18">
        <v>124746</v>
      </c>
    </row>
    <row r="46" spans="2:3" ht="23.4">
      <c r="B46" s="4" t="s">
        <v>72</v>
      </c>
      <c r="C46" s="18">
        <v>338917</v>
      </c>
    </row>
    <row r="47" spans="2:3" ht="23.4">
      <c r="B47" s="4" t="s">
        <v>74</v>
      </c>
      <c r="C47" s="18">
        <v>90627</v>
      </c>
    </row>
    <row r="48" spans="2:3" ht="23.4">
      <c r="B48" s="4" t="s">
        <v>75</v>
      </c>
      <c r="C48" s="18">
        <v>220289</v>
      </c>
    </row>
    <row r="49" spans="2:3" ht="23.4">
      <c r="B49" s="4" t="s">
        <v>76</v>
      </c>
      <c r="C49" s="18">
        <v>188318</v>
      </c>
    </row>
    <row r="50" spans="2:3" ht="23.4">
      <c r="B50" s="4" t="s">
        <v>78</v>
      </c>
      <c r="C50" s="18">
        <v>216135</v>
      </c>
    </row>
    <row r="51" spans="2:3" ht="23.4">
      <c r="B51" s="4" t="s">
        <v>79</v>
      </c>
      <c r="C51" s="18">
        <v>255148</v>
      </c>
    </row>
    <row r="52" spans="2:3" ht="23.4">
      <c r="B52" s="4" t="s">
        <v>80</v>
      </c>
      <c r="C52" s="18">
        <v>343815</v>
      </c>
    </row>
    <row r="53" spans="2:3" ht="23.4">
      <c r="B53" s="4" t="s">
        <v>81</v>
      </c>
      <c r="C53" s="18">
        <v>107680</v>
      </c>
    </row>
    <row r="54" spans="2:3" ht="23.4">
      <c r="B54" s="4" t="s">
        <v>83</v>
      </c>
      <c r="C54" s="18">
        <v>210198</v>
      </c>
    </row>
    <row r="55" spans="2:3" ht="23.4">
      <c r="B55" s="4" t="s">
        <v>84</v>
      </c>
      <c r="C55" s="18">
        <v>191191</v>
      </c>
    </row>
    <row r="56" spans="2:3" ht="23.4">
      <c r="B56" s="17" t="s">
        <v>87</v>
      </c>
      <c r="C56" s="18">
        <v>8844350</v>
      </c>
    </row>
  </sheetData>
  <mergeCells count="2">
    <mergeCell ref="Q7:T7"/>
    <mergeCell ref="B3:U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Amazon Sales Dashboard  2024</vt:lpstr>
      <vt:lpstr>Visualizations</vt:lpstr>
      <vt:lpstr>Location Based Performance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dtchirag</dc:creator>
  <cp:lastModifiedBy>DT CHIRAG</cp:lastModifiedBy>
  <dcterms:created xsi:type="dcterms:W3CDTF">2025-08-26T15:02:00Z</dcterms:created>
  <dcterms:modified xsi:type="dcterms:W3CDTF">2025-09-27T17:22:02Z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B1864B993F854EDFBD769065DB5ECE48_11</vt:lpwstr>
  </property>
  <property fmtid="{D5CDD505-2E9C-101B-9397-08002B2CF9AE}" pid="3" name="KSOProductBuildVer">
    <vt:lpwstr>1033-12.2.0.22222</vt:lpwstr>
  </property>
</Properties>
</file>